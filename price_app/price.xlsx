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price_app\"/>
    </mc:Choice>
  </mc:AlternateContent>
  <xr:revisionPtr revIDLastSave="0" documentId="13_ncr:1_{80252DA8-E9BE-4499-851D-ECC972D4C6E9}" xr6:coauthVersionLast="47" xr6:coauthVersionMax="47" xr10:uidLastSave="{00000000-0000-0000-0000-000000000000}"/>
  <bookViews>
    <workbookView xWindow="28680" yWindow="1545" windowWidth="29040" windowHeight="15720" xr2:uid="{F7939EF5-B83A-4DC8-BB0C-BCEDB94B8E8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2" i="1" l="1"/>
  <c r="C130" i="1"/>
  <c r="C128" i="1"/>
  <c r="C126" i="1"/>
  <c r="C124" i="1"/>
  <c r="C122" i="1"/>
  <c r="C120" i="1"/>
  <c r="C118" i="1"/>
  <c r="C116" i="1"/>
  <c r="C114" i="1"/>
  <c r="C112" i="1"/>
  <c r="C106" i="1"/>
  <c r="C104" i="1"/>
  <c r="C102" i="1"/>
  <c r="C98" i="1"/>
  <c r="C96" i="1"/>
  <c r="C94" i="1"/>
  <c r="C92" i="1"/>
  <c r="C90" i="1"/>
  <c r="C88" i="1"/>
  <c r="C87" i="1"/>
  <c r="C86" i="1"/>
  <c r="C84" i="1"/>
  <c r="C82" i="1"/>
</calcChain>
</file>

<file path=xl/sharedStrings.xml><?xml version="1.0" encoding="utf-8"?>
<sst xmlns="http://schemas.openxmlformats.org/spreadsheetml/2006/main" count="788" uniqueCount="602">
  <si>
    <t>name</t>
    <phoneticPr fontId="2" type="noConversion"/>
  </si>
  <si>
    <t>price</t>
    <phoneticPr fontId="2" type="noConversion"/>
  </si>
  <si>
    <t>TW0600B2HL</t>
  </si>
  <si>
    <t>TW0720B2HL</t>
  </si>
  <si>
    <t>TW0900A2HL</t>
  </si>
  <si>
    <t>TW1000A2HL</t>
  </si>
  <si>
    <t>TW1000A9HL</t>
  </si>
  <si>
    <t>TW1100A2HL</t>
  </si>
  <si>
    <t>TW1100A9HL</t>
  </si>
  <si>
    <t>TW1300A2HL</t>
  </si>
  <si>
    <t>TW1300A9HL</t>
  </si>
  <si>
    <t>TW1450A9HL</t>
  </si>
  <si>
    <t>TW0522S2S</t>
  </si>
  <si>
    <t>TW0601S2SR</t>
  </si>
  <si>
    <t>TW0600P2L</t>
  </si>
  <si>
    <t>TW0720P2L</t>
  </si>
  <si>
    <t>TW0900M2L</t>
  </si>
  <si>
    <t>TW1000M2L</t>
  </si>
  <si>
    <t>TW1000M9L</t>
  </si>
  <si>
    <t>TW1100M2L</t>
  </si>
  <si>
    <t>TW1100M9L</t>
  </si>
  <si>
    <t>TW1300M2L</t>
  </si>
  <si>
    <t>TW1300M9L</t>
  </si>
  <si>
    <t>TW1450M9L</t>
  </si>
  <si>
    <t>TW0722Y2SR</t>
  </si>
  <si>
    <t>TW0900Y2SR</t>
  </si>
  <si>
    <t>TW1100Y9SR</t>
  </si>
  <si>
    <t>TW1100Y2SR</t>
  </si>
  <si>
    <t>TW1450Y9SR</t>
  </si>
  <si>
    <t>TW0722Y2BR</t>
  </si>
  <si>
    <t>TW0900Y2BR</t>
  </si>
  <si>
    <t>TW1100Y9BR</t>
  </si>
  <si>
    <t>TW1100Y2BR</t>
  </si>
  <si>
    <t>TW1450Y9BR</t>
  </si>
  <si>
    <t>BW1100M9SR</t>
  </si>
  <si>
    <t>BW1450M9SR</t>
  </si>
  <si>
    <t>VW0720M2S</t>
  </si>
  <si>
    <t>VW0830M2S</t>
  </si>
  <si>
    <t>VW1300M9S</t>
  </si>
  <si>
    <t>VW1450M9S</t>
  </si>
  <si>
    <t>TQ0600B2SD</t>
  </si>
  <si>
    <t>TQ0720B2SD</t>
  </si>
  <si>
    <t>TQ0900A2SD</t>
  </si>
  <si>
    <t>TQ1100A2DR</t>
  </si>
  <si>
    <t>TQ1450A2DR</t>
  </si>
  <si>
    <t>PW2300F9SF</t>
  </si>
  <si>
    <t>PW2900F9SF</t>
  </si>
  <si>
    <t>PQ2900F9SF</t>
  </si>
  <si>
    <t>PQ4500N9SF</t>
  </si>
  <si>
    <t>PQ5800N9SF</t>
  </si>
  <si>
    <t>RNW0200C2S</t>
  </si>
  <si>
    <t>RNW0230C2S</t>
  </si>
  <si>
    <t>RNW0320C2S</t>
  </si>
  <si>
    <t>RNW0400C2S</t>
  </si>
  <si>
    <t>RNW0520C2S</t>
  </si>
  <si>
    <t>RNW0600C2S</t>
  </si>
  <si>
    <t>RNW0720C2S</t>
  </si>
  <si>
    <t>RNW0521G2S</t>
  </si>
  <si>
    <t>RNW0601G2S</t>
  </si>
  <si>
    <t>RNW0721G2S</t>
  </si>
  <si>
    <t>RNW0230M2S</t>
  </si>
  <si>
    <t>RNW0320M2S</t>
  </si>
  <si>
    <t>RNW0400M2S</t>
  </si>
  <si>
    <t>RNW0520M2S</t>
  </si>
  <si>
    <t>RNW0401A2U</t>
  </si>
  <si>
    <t>RNW0521A2U</t>
  </si>
  <si>
    <t>RNW0601A2U</t>
  </si>
  <si>
    <t>RNW0721A2U</t>
  </si>
  <si>
    <t>RNW0831A2U</t>
  </si>
  <si>
    <t>RNW1001A2U</t>
  </si>
  <si>
    <t>RNW1101A2U</t>
  </si>
  <si>
    <t>RNW1301A2U</t>
  </si>
  <si>
    <t>RNW1451A2U</t>
  </si>
  <si>
    <t>RNW0401A2S</t>
  </si>
  <si>
    <t>RNW0521A2S</t>
  </si>
  <si>
    <t>RNW0601A2S</t>
  </si>
  <si>
    <t>RNW0721A2S</t>
  </si>
  <si>
    <t>RNW0831A2S</t>
  </si>
  <si>
    <t>RNW1001A2S</t>
  </si>
  <si>
    <t>RNW1101A2S</t>
  </si>
  <si>
    <t>RNW1301A2S</t>
  </si>
  <si>
    <t>RNW1451A2S</t>
  </si>
  <si>
    <t>RNW0401T2S</t>
  </si>
  <si>
    <t>RNW0521T2S</t>
  </si>
  <si>
    <t>RNW0601T2S</t>
  </si>
  <si>
    <t>RNW0721T2S</t>
  </si>
  <si>
    <t>RNW0831T2S</t>
  </si>
  <si>
    <t>RNW1001T2S</t>
  </si>
  <si>
    <t>RNW1101T2S</t>
  </si>
  <si>
    <t>RNW1301T2S</t>
  </si>
  <si>
    <t>RNW1451T2S</t>
  </si>
  <si>
    <t>RNW072PA2S</t>
  </si>
  <si>
    <t>R-W0200C2S</t>
  </si>
  <si>
    <t>R-W0230C2S</t>
  </si>
  <si>
    <t>R-W0320C2S</t>
  </si>
  <si>
    <t>R-W0400C2S</t>
  </si>
  <si>
    <t>R-W0520C2S</t>
  </si>
  <si>
    <t>R-W0600C2S</t>
  </si>
  <si>
    <t>R-W0720C2S</t>
  </si>
  <si>
    <t>R-W0521G2S</t>
  </si>
  <si>
    <t>R-W0601G2S</t>
  </si>
  <si>
    <t>R-W0721G2S</t>
  </si>
  <si>
    <t>R-W0230M2S</t>
  </si>
  <si>
    <t>R-W0320M2S</t>
  </si>
  <si>
    <t>R-W0400M2S</t>
  </si>
  <si>
    <t>R-W0520M2S</t>
  </si>
  <si>
    <t>R-W0401A2U</t>
  </si>
  <si>
    <t>R-W0521A2U</t>
  </si>
  <si>
    <t>R-W0601A2U</t>
  </si>
  <si>
    <t>R-W0721A2U</t>
  </si>
  <si>
    <t>R-W0831A2U</t>
  </si>
  <si>
    <t>R-W1001A2U</t>
  </si>
  <si>
    <t>R-W1101A2U</t>
  </si>
  <si>
    <t>R-W1301A2U</t>
  </si>
  <si>
    <t>R-W1451A2U</t>
  </si>
  <si>
    <t>R-W0401A2S</t>
  </si>
  <si>
    <t>R-W0521A2S</t>
  </si>
  <si>
    <t>R-W0601A2S</t>
  </si>
  <si>
    <t>R-W0721A2S</t>
  </si>
  <si>
    <t>R-W0831A2S</t>
  </si>
  <si>
    <t>R-W1001A2S</t>
  </si>
  <si>
    <t>R-W1101A2S</t>
  </si>
  <si>
    <t>R-W1301A2S</t>
  </si>
  <si>
    <t>R-W1451A2S</t>
  </si>
  <si>
    <t>R-W0401T2S</t>
  </si>
  <si>
    <t>R-W0521T2S</t>
  </si>
  <si>
    <t>R-W0601T2S</t>
  </si>
  <si>
    <t>R-W0721T2S</t>
  </si>
  <si>
    <t>R-W0831T2S</t>
  </si>
  <si>
    <t>R-W1001T2S</t>
  </si>
  <si>
    <t>R-W1101T2S</t>
  </si>
  <si>
    <t>R-W1301T2S</t>
  </si>
  <si>
    <t>R-W1451T2S</t>
  </si>
  <si>
    <t>RNW0720S2S</t>
  </si>
  <si>
    <t>RNW0830S2S</t>
  </si>
  <si>
    <t>RNW1100S2S</t>
  </si>
  <si>
    <t>RNW1450S2S</t>
  </si>
  <si>
    <t>RNW0720S2SB</t>
  </si>
  <si>
    <t>RNW0830S2SB</t>
  </si>
  <si>
    <t>RNW1100S2SB</t>
  </si>
  <si>
    <t>RNW1450S2SB</t>
  </si>
  <si>
    <t>RNW0720S2Y</t>
  </si>
  <si>
    <t>RNW0830S2Y</t>
  </si>
  <si>
    <t>RNW1100S2Y</t>
  </si>
  <si>
    <t>RNW1450S2Y</t>
  </si>
  <si>
    <t>RNW0230L2S</t>
  </si>
  <si>
    <t>RNW0320L2S</t>
  </si>
  <si>
    <t>RNW0400L2S</t>
  </si>
  <si>
    <t>RNW0521B2S</t>
  </si>
  <si>
    <t>RNW0601B2S</t>
  </si>
  <si>
    <t>RNW0721B2S</t>
  </si>
  <si>
    <t>RNW0831B2S</t>
  </si>
  <si>
    <t>RNW1001B2S</t>
  </si>
  <si>
    <t>RNW1101B2S</t>
  </si>
  <si>
    <t>RNW1301B2S</t>
  </si>
  <si>
    <t>RNW1451B2S</t>
  </si>
  <si>
    <t>RNW2300B2S</t>
  </si>
  <si>
    <t>RNW2900B2S</t>
  </si>
  <si>
    <t>RNW1450P2S</t>
  </si>
  <si>
    <t>RNW2900P2S</t>
  </si>
  <si>
    <t>RNW0230R2S</t>
  </si>
  <si>
    <t>RNW0320R2S</t>
  </si>
  <si>
    <t>RNW0400R2S</t>
  </si>
  <si>
    <t>RNW0520R2S</t>
  </si>
  <si>
    <t>RNW0720V2S</t>
  </si>
  <si>
    <t>RNW1450V2S</t>
  </si>
  <si>
    <t>ARND153DCR6</t>
  </si>
  <si>
    <t>ARND203DCR6</t>
  </si>
  <si>
    <t>RNW1230X2SS</t>
  </si>
  <si>
    <t>RPUQ041S2S</t>
  </si>
  <si>
    <t>RPUQ051S2S</t>
  </si>
  <si>
    <t>RPUQ061S2S</t>
  </si>
  <si>
    <t>RPUQ081S9S</t>
  </si>
  <si>
    <t>RPUQ101S9S</t>
  </si>
  <si>
    <t>RPUM050S2S</t>
  </si>
  <si>
    <t>RPUW042S2S</t>
  </si>
  <si>
    <t>RPUW041S9S</t>
  </si>
  <si>
    <t>RPUW052S2S</t>
  </si>
  <si>
    <t>RPUW051S9S</t>
  </si>
  <si>
    <t>RPUW05QS9S</t>
  </si>
  <si>
    <t>RPUW062S2S</t>
  </si>
  <si>
    <t>RPUW061S9S</t>
  </si>
  <si>
    <t>RPUW081S9S</t>
  </si>
  <si>
    <t>RPUW101S9S</t>
  </si>
  <si>
    <t>RPUW121S9S</t>
  </si>
  <si>
    <t>RPUW082X9E</t>
  </si>
  <si>
    <t>RPUW102X9E</t>
  </si>
  <si>
    <t>RPUW122X9E</t>
  </si>
  <si>
    <t>RPUW142X9E</t>
  </si>
  <si>
    <t>RPUW162X9E</t>
  </si>
  <si>
    <t>RPUW182X9E</t>
  </si>
  <si>
    <t>RPUW202X9E</t>
  </si>
  <si>
    <t>RPUW222X9E</t>
  </si>
  <si>
    <t>RPUW242X9E</t>
  </si>
  <si>
    <t>RP-W262X9E</t>
  </si>
  <si>
    <t>RP-W282X9E</t>
  </si>
  <si>
    <t>RP-W302X9E</t>
  </si>
  <si>
    <t>RP-W322X9E</t>
  </si>
  <si>
    <t>RP-W342X9E</t>
  </si>
  <si>
    <t>RP-W362X9E</t>
  </si>
  <si>
    <t>RP-W382X9E</t>
  </si>
  <si>
    <t>RP-W402X9E</t>
  </si>
  <si>
    <t>RP-W422X9E</t>
  </si>
  <si>
    <t>RP-W442X9E</t>
  </si>
  <si>
    <t>RP-W462X9E</t>
  </si>
  <si>
    <t>RP-W482X9E</t>
  </si>
  <si>
    <t>RPUW082X9L</t>
  </si>
  <si>
    <t>RPUW102X9L</t>
  </si>
  <si>
    <t>RPUW122X9L</t>
  </si>
  <si>
    <t>RPUW142X9L</t>
  </si>
  <si>
    <t>RPUW162X9L</t>
  </si>
  <si>
    <t>RPUW182X9L</t>
  </si>
  <si>
    <t>RPUW202X9L</t>
  </si>
  <si>
    <t>RP-W222X9L</t>
  </si>
  <si>
    <t>RP-W242X9L</t>
  </si>
  <si>
    <t>RP-W262X9L</t>
  </si>
  <si>
    <t>RP-W282X9L</t>
  </si>
  <si>
    <t>RP-W302X9L</t>
  </si>
  <si>
    <t>RP-W322X9L</t>
  </si>
  <si>
    <t>RP-W342X9L</t>
  </si>
  <si>
    <t>RP-W362X9L</t>
  </si>
  <si>
    <t>RP-W382X9L</t>
  </si>
  <si>
    <t>RP-W402X9L</t>
  </si>
  <si>
    <t>RP-W422X9L</t>
  </si>
  <si>
    <t>RP-W442X9L</t>
  </si>
  <si>
    <t>RP-W462X9L</t>
  </si>
  <si>
    <t>RP-W482X9L</t>
  </si>
  <si>
    <t>RPUW082X9T</t>
  </si>
  <si>
    <t>RPUW102X9T</t>
  </si>
  <si>
    <t>RPUW122X9T</t>
  </si>
  <si>
    <t>RPUW142X9T</t>
  </si>
  <si>
    <t>RPUW162X9T</t>
  </si>
  <si>
    <t>RPUW182X9T</t>
  </si>
  <si>
    <t>RPUW202X9T</t>
  </si>
  <si>
    <t>RP-W222X9T</t>
  </si>
  <si>
    <t>RP-W242X9T</t>
  </si>
  <si>
    <t>RP-W262X9T</t>
  </si>
  <si>
    <t>RP-W282X9T</t>
  </si>
  <si>
    <t>RP-W302X9T</t>
  </si>
  <si>
    <t>RP-W322X9T</t>
  </si>
  <si>
    <t>RP-W342X9T</t>
  </si>
  <si>
    <t>RP-W362X9T</t>
  </si>
  <si>
    <t>RP-W382X9T</t>
  </si>
  <si>
    <t>RP-W402X9T</t>
  </si>
  <si>
    <t>RP-W422X9T</t>
  </si>
  <si>
    <t>RP-W442X9T</t>
  </si>
  <si>
    <t>RP-W462X9T</t>
  </si>
  <si>
    <t>RP-W482X9T</t>
  </si>
  <si>
    <t>RPUW082XDF</t>
  </si>
  <si>
    <t>RPUW102XDF</t>
  </si>
  <si>
    <t>RPUW122XDF</t>
  </si>
  <si>
    <t>RPUW142XDF</t>
  </si>
  <si>
    <t>RPUW162XDF</t>
  </si>
  <si>
    <t>RPUW182XDF</t>
  </si>
  <si>
    <t>RPUW202XDF</t>
  </si>
  <si>
    <t>RP-W222XDF</t>
  </si>
  <si>
    <t>RP-W242XDF</t>
  </si>
  <si>
    <t>RP-W262XDF</t>
  </si>
  <si>
    <t>RP-W282XDF</t>
  </si>
  <si>
    <t>RP-W302XDF</t>
  </si>
  <si>
    <t>RP-W322XDF</t>
  </si>
  <si>
    <t>RP-W342XDF</t>
  </si>
  <si>
    <t>RP-W362XDF</t>
  </si>
  <si>
    <t>RP-W382XDF</t>
  </si>
  <si>
    <t>RP-W402XDF</t>
  </si>
  <si>
    <t>RP-W422XDF</t>
  </si>
  <si>
    <t>RP-W442XDF</t>
  </si>
  <si>
    <t>RP-W462XDF</t>
  </si>
  <si>
    <t>RPUW081X9H</t>
  </si>
  <si>
    <t>RPUW08EX9H</t>
  </si>
  <si>
    <t>RPUW101X9H</t>
  </si>
  <si>
    <t>RPUW10EX9H</t>
  </si>
  <si>
    <t>RPUW121X9H</t>
  </si>
  <si>
    <t>RPUW141X9H</t>
  </si>
  <si>
    <t>RPUW14EX9H</t>
  </si>
  <si>
    <t>RPUW161X9H</t>
  </si>
  <si>
    <t>RPUW181X9H</t>
  </si>
  <si>
    <t>RPUW201X9H</t>
  </si>
  <si>
    <t>RPUW221X9H</t>
  </si>
  <si>
    <t>RPUW241X9H</t>
  </si>
  <si>
    <t>RPUW261X9H</t>
  </si>
  <si>
    <t>RP-W261X9H</t>
  </si>
  <si>
    <t>RP-W281X9H</t>
  </si>
  <si>
    <t>RP-W301X9H</t>
  </si>
  <si>
    <t>RP-W321X9H</t>
  </si>
  <si>
    <t>RP-W341X9H</t>
  </si>
  <si>
    <t>RP-W361X9H</t>
  </si>
  <si>
    <t>RP-W381X9H</t>
  </si>
  <si>
    <t>RP-W401X9H</t>
  </si>
  <si>
    <t>RP-W421X9H</t>
  </si>
  <si>
    <t>RP-W441X9H</t>
  </si>
  <si>
    <t>RP-W461X9H</t>
  </si>
  <si>
    <t>RP-W481X9H</t>
  </si>
  <si>
    <t>RPUW08BX9P</t>
  </si>
  <si>
    <t>RPUW10BX9P</t>
  </si>
  <si>
    <t>RPUW12BX9P</t>
  </si>
  <si>
    <t>RPUW14BX9P</t>
  </si>
  <si>
    <t>RPUW16BX9P</t>
  </si>
  <si>
    <t>RPUW18BX9P</t>
  </si>
  <si>
    <t>RPUW20BX9P</t>
  </si>
  <si>
    <t>RPUW22BX9P</t>
  </si>
  <si>
    <t>RPUW24BX9P</t>
  </si>
  <si>
    <t>RPUW26BX9P</t>
  </si>
  <si>
    <t>RPUW281X9P</t>
  </si>
  <si>
    <t>RPUW301X9P</t>
  </si>
  <si>
    <t>RPUW321X9P</t>
  </si>
  <si>
    <t>RPUW34GX9P</t>
  </si>
  <si>
    <t>RP-W26BX9P</t>
  </si>
  <si>
    <t>RP-W28BX9P</t>
  </si>
  <si>
    <t>RP-W30BX9P</t>
  </si>
  <si>
    <t>RP-W32BX9P</t>
  </si>
  <si>
    <t>RP-W34BX9P</t>
  </si>
  <si>
    <t>RP-W36BX9P</t>
  </si>
  <si>
    <t>RP-W38BX9P</t>
  </si>
  <si>
    <t>RP-W40BX9P</t>
  </si>
  <si>
    <t>RP-W42BX9P</t>
  </si>
  <si>
    <t>RP-W44BX9P</t>
  </si>
  <si>
    <t>RP-W46BX9P</t>
  </si>
  <si>
    <t>RP-W48BX9P</t>
  </si>
  <si>
    <t>RPUW10BX9M</t>
  </si>
  <si>
    <t>RPUW12BX9M</t>
  </si>
  <si>
    <t>RPUW14BX9M</t>
  </si>
  <si>
    <t>RPUW16BX9M</t>
  </si>
  <si>
    <t>RPUW18BX9M</t>
  </si>
  <si>
    <t>RPUW20BX9M</t>
  </si>
  <si>
    <t>RPUQ081X9S</t>
  </si>
  <si>
    <t>RPUQ101X9S</t>
  </si>
  <si>
    <t>RPUQ121X9S</t>
  </si>
  <si>
    <t>RPUQ141X9S</t>
  </si>
  <si>
    <t>RPUQ161X9S</t>
  </si>
  <si>
    <t>RPUQ181X9S</t>
  </si>
  <si>
    <t>RPUQ201X9S</t>
  </si>
  <si>
    <t>RPUQ221X9S</t>
  </si>
  <si>
    <t>RPUQ241X9S</t>
  </si>
  <si>
    <t>RPUQ261X9S</t>
  </si>
  <si>
    <t>RP-Q441X9S</t>
  </si>
  <si>
    <t>RPUB081X9E</t>
  </si>
  <si>
    <t>RPUB101X9E</t>
  </si>
  <si>
    <t>RPUB121X9E</t>
  </si>
  <si>
    <t>RPUB141X9E</t>
  </si>
  <si>
    <t>RPUB161X9E</t>
  </si>
  <si>
    <t>RPUB181X9E</t>
  </si>
  <si>
    <t>RPUB201X9E</t>
  </si>
  <si>
    <t>RPUB221X9E</t>
  </si>
  <si>
    <t>RPUB241X9E</t>
  </si>
  <si>
    <t>GPUW161C2S</t>
  </si>
  <si>
    <t>GPUW201C2S</t>
  </si>
  <si>
    <t>GPUW251C2S</t>
  </si>
  <si>
    <t>GPUW280C2S</t>
  </si>
  <si>
    <t>GPUW300C2S</t>
  </si>
  <si>
    <t>GPUW320C2S</t>
  </si>
  <si>
    <t>GP-W501C2S</t>
  </si>
  <si>
    <t>GP-W451C2S</t>
  </si>
  <si>
    <t>GP-W640C2S</t>
  </si>
  <si>
    <t>RGUW100C9C</t>
  </si>
  <si>
    <t>RGUW120C9E</t>
  </si>
  <si>
    <t>RGUW200C9E</t>
  </si>
  <si>
    <t>RGUW260C9E</t>
  </si>
  <si>
    <t>PACM5A000</t>
  </si>
  <si>
    <t>PNU-D1S40</t>
  </si>
  <si>
    <t>PPWRDB000</t>
  </si>
  <si>
    <t>RNQ0120K2WP</t>
  </si>
  <si>
    <t>RNQ0160K2WP</t>
  </si>
  <si>
    <t>RNQ0200K2WP</t>
  </si>
  <si>
    <t>RNQ0200C2WP</t>
  </si>
  <si>
    <t>RNQ0230C2WP</t>
  </si>
  <si>
    <t>RNQ0320C2WP</t>
  </si>
  <si>
    <t>RNQ0400C2WP</t>
  </si>
  <si>
    <t>RNQ0520C2WP</t>
  </si>
  <si>
    <t>RNQ0600C2WP</t>
  </si>
  <si>
    <t>RNQ0720C2WP</t>
  </si>
  <si>
    <t>RNQ0121K2SP</t>
  </si>
  <si>
    <t>RNQ0161K2SP</t>
  </si>
  <si>
    <t>RNQ0201K2SP</t>
  </si>
  <si>
    <t>RNQ0231K2SP</t>
  </si>
  <si>
    <t>RNQ0201C2SP</t>
  </si>
  <si>
    <t>RNQ0231C2SP</t>
  </si>
  <si>
    <t>RNQ0321C2SP</t>
  </si>
  <si>
    <t>RNQ0401C2SP</t>
  </si>
  <si>
    <t>RNQ0521C2SP</t>
  </si>
  <si>
    <t>RNQ0601C2SP</t>
  </si>
  <si>
    <t>RNQ0721C2SP</t>
  </si>
  <si>
    <t>RNQ0121K2UP</t>
  </si>
  <si>
    <t>RNQ0161K2UP</t>
  </si>
  <si>
    <t>RNQ0201K2UP</t>
  </si>
  <si>
    <t>RNQ0231K2UP</t>
  </si>
  <si>
    <t>RNQ0201C2UP</t>
  </si>
  <si>
    <t>RNQ0231C2UP</t>
  </si>
  <si>
    <t>RNQ0321C2UP</t>
  </si>
  <si>
    <t>RNQ0401C2UP</t>
  </si>
  <si>
    <t>RNQ0521C2UP</t>
  </si>
  <si>
    <t>RNQ0601C2UP</t>
  </si>
  <si>
    <t>RNQ0721C2UP</t>
  </si>
  <si>
    <t>RPUQ0254A2R</t>
  </si>
  <si>
    <t>RPUQ0304A2R</t>
  </si>
  <si>
    <t>RPUQ0404S2R</t>
  </si>
  <si>
    <t>RPUQ0505S2R</t>
  </si>
  <si>
    <t>RPUQ0605S2R</t>
  </si>
  <si>
    <t>RPUQ0802S9R</t>
  </si>
  <si>
    <t>RPUQ1002S9R</t>
  </si>
  <si>
    <t>RPUQ0254A2A</t>
  </si>
  <si>
    <t>RPUQ0304A2A</t>
  </si>
  <si>
    <t>RPUQ0404S2A</t>
  </si>
  <si>
    <t>RPUQ0505S2A</t>
  </si>
  <si>
    <t>RPUQ0605S2A</t>
  </si>
  <si>
    <t>MNV0200C2W</t>
  </si>
  <si>
    <t>MNV0230C2W</t>
  </si>
  <si>
    <t>MNV0320C2W</t>
  </si>
  <si>
    <t>MNV0400C2W</t>
  </si>
  <si>
    <t>MNV0520C2W</t>
  </si>
  <si>
    <t>MNV0600C2W</t>
  </si>
  <si>
    <t>MNV0720C2W</t>
  </si>
  <si>
    <t>MNV0121K2S</t>
  </si>
  <si>
    <t>MNV0161K2S</t>
  </si>
  <si>
    <t>MNV0201K2S</t>
  </si>
  <si>
    <t>MNV0231K2S</t>
  </si>
  <si>
    <t>MNV0201C2S</t>
  </si>
  <si>
    <t>MNV0231C2S</t>
  </si>
  <si>
    <t>MNV0321C2S</t>
  </si>
  <si>
    <t>MNV0401C2S</t>
  </si>
  <si>
    <t>MNV0521C2S</t>
  </si>
  <si>
    <t>MNV0601C2S</t>
  </si>
  <si>
    <t>MNV0721C2S</t>
  </si>
  <si>
    <t>MNV0121K2U</t>
  </si>
  <si>
    <t>MNV0161K2U</t>
  </si>
  <si>
    <t>MNV0201K2U</t>
  </si>
  <si>
    <t>MNV0231K2U</t>
  </si>
  <si>
    <t>MNV0201C2U</t>
  </si>
  <si>
    <t>MNV0231C2U</t>
  </si>
  <si>
    <t>MNV0321C2U</t>
  </si>
  <si>
    <t>MNV0401C2U</t>
  </si>
  <si>
    <t>MNV0521C2U</t>
  </si>
  <si>
    <t>MNV0601C2U</t>
  </si>
  <si>
    <t>MNV0721C2U</t>
  </si>
  <si>
    <t>MNV0230R2S</t>
  </si>
  <si>
    <t>MNV0320R2S</t>
  </si>
  <si>
    <t>MNV0400R2S</t>
  </si>
  <si>
    <t>MNV0520R2S</t>
  </si>
  <si>
    <t>MUV0720A23A</t>
  </si>
  <si>
    <t>MUV0900A24A</t>
  </si>
  <si>
    <t>MUV1100S25A</t>
  </si>
  <si>
    <t>MUV1450S25A</t>
  </si>
  <si>
    <t>MUV0720A23V</t>
  </si>
  <si>
    <t>MUV0900A24V</t>
  </si>
  <si>
    <t>MUV1100S25V</t>
  </si>
  <si>
    <t>MUV1450S25V</t>
  </si>
  <si>
    <t>PFP-VU2CW</t>
  </si>
  <si>
    <t>PFP-VT2CW</t>
  </si>
  <si>
    <t>PFP-VU2SW</t>
  </si>
  <si>
    <t>PFP-VT2SW</t>
  </si>
  <si>
    <t>PFP-WU2SW</t>
  </si>
  <si>
    <t>PFP-WT2SW</t>
  </si>
  <si>
    <t>PFP-WS0SW</t>
  </si>
  <si>
    <t>PFP-WA4CW</t>
  </si>
  <si>
    <t>PFP-WA5CW</t>
  </si>
  <si>
    <t>PFP-WA4CB</t>
  </si>
  <si>
    <t>PFP-WA0UW</t>
  </si>
  <si>
    <t>PFP-WA0UB</t>
  </si>
  <si>
    <t>PFP-WM5SW</t>
  </si>
  <si>
    <t>PFP-WY0SW</t>
  </si>
  <si>
    <t>PFP-WQ2SW</t>
  </si>
  <si>
    <t>PFP-XG1UW</t>
  </si>
  <si>
    <t>PFP-XU1UW</t>
  </si>
  <si>
    <t>PFP-XT1UW</t>
  </si>
  <si>
    <t>PFP-XG1RW</t>
  </si>
  <si>
    <t>PFP-XU1RW</t>
  </si>
  <si>
    <t>PFP-XT1RW</t>
  </si>
  <si>
    <t>PFP-VG2SW</t>
  </si>
  <si>
    <t>PFP-VG2CW</t>
  </si>
  <si>
    <t>PFP-WG2SW</t>
  </si>
  <si>
    <t>PAH-TGP0M</t>
  </si>
  <si>
    <t>PAH-TUP0M</t>
  </si>
  <si>
    <t>PAH-TGP2M</t>
  </si>
  <si>
    <t>PAH-TUP2M</t>
  </si>
  <si>
    <t>PAH-TTP2M</t>
  </si>
  <si>
    <t>PAH-TYP0M</t>
  </si>
  <si>
    <t>PAH-TAP1MW</t>
  </si>
  <si>
    <t>PAH-TAP1MB</t>
  </si>
  <si>
    <t>PHD-TA0</t>
  </si>
  <si>
    <t>PWLSSA41H</t>
  </si>
  <si>
    <t>PWLSSA41C</t>
  </si>
  <si>
    <t>PWLSSC41H</t>
  </si>
  <si>
    <t>PWLSSC41C</t>
  </si>
  <si>
    <t>PREMTA211</t>
  </si>
  <si>
    <t>PREMTB200</t>
  </si>
  <si>
    <t>PWFMDD202</t>
  </si>
  <si>
    <t>PLGMVW100</t>
  </si>
  <si>
    <t>PHR-RD23</t>
  </si>
  <si>
    <t>PHR-RD33</t>
  </si>
  <si>
    <t>PHR-RD43</t>
  </si>
  <si>
    <t>PHR-RD63</t>
  </si>
  <si>
    <t>PHR-RD83</t>
  </si>
  <si>
    <t>PNF-P14A0A</t>
  </si>
  <si>
    <t>PNF-P14A0R</t>
  </si>
  <si>
    <t>PNF-P14A0C</t>
  </si>
  <si>
    <t>PV485N000</t>
  </si>
  <si>
    <t>PAHCNM000</t>
  </si>
  <si>
    <t>PAHCMS000</t>
  </si>
  <si>
    <t>PAHCMR000</t>
  </si>
  <si>
    <t>PRLK048A0</t>
  </si>
  <si>
    <t>PRLK096A0</t>
  </si>
  <si>
    <t>PRLK396A0</t>
  </si>
  <si>
    <t>PRLK594A0</t>
  </si>
  <si>
    <t>PAEEVA020</t>
  </si>
  <si>
    <t>PBL-1601H2</t>
  </si>
  <si>
    <t>PBL-3501H2</t>
  </si>
  <si>
    <t>PBL-7001H2</t>
  </si>
  <si>
    <t>PBL-8701H2</t>
  </si>
  <si>
    <t>PCN-11600H2</t>
  </si>
  <si>
    <t>PCN-17400H2</t>
  </si>
  <si>
    <t>PCN-23200H2</t>
  </si>
  <si>
    <t>UXA 받침대</t>
  </si>
  <si>
    <t>UXB 받침대</t>
  </si>
  <si>
    <t>UXC 받침대</t>
  </si>
  <si>
    <t>Z-H0151B2SR(L)</t>
  </si>
  <si>
    <t>Z-H0201B2SR(L)</t>
  </si>
  <si>
    <t>Z-H0251B2SR(L)</t>
  </si>
  <si>
    <t>Z-H0301B2SR(L)</t>
  </si>
  <si>
    <t>Z-E0100R(L)2AR</t>
  </si>
  <si>
    <t>Z-E0150R(L)2AR</t>
  </si>
  <si>
    <t>Z-E0200R(L)2AR</t>
  </si>
  <si>
    <t>Z-E0250R(L)2AR</t>
  </si>
  <si>
    <t>LZ-H154GB</t>
  </si>
  <si>
    <t>Z-E0250U2SC</t>
  </si>
  <si>
    <t>Z-E0350U2SC</t>
  </si>
  <si>
    <t>Z-E0500U2SC</t>
  </si>
  <si>
    <t>Z-E0800U2SC</t>
  </si>
  <si>
    <t>Z-E1000U2SC</t>
  </si>
  <si>
    <t>Z-E1500U2SC</t>
  </si>
  <si>
    <t>Z-E2000U2SC</t>
  </si>
  <si>
    <t>note</t>
    <phoneticPr fontId="2" type="noConversion"/>
  </si>
  <si>
    <t>TW0230U2S</t>
    <phoneticPr fontId="2" type="noConversion"/>
  </si>
  <si>
    <t>무광판넬</t>
    <phoneticPr fontId="2" type="noConversion"/>
  </si>
  <si>
    <t>유광판넬</t>
    <phoneticPr fontId="2" type="noConversion"/>
  </si>
  <si>
    <t>TW0320U2S</t>
    <phoneticPr fontId="2" type="noConversion"/>
  </si>
  <si>
    <t>TW0400U2S</t>
    <phoneticPr fontId="2" type="noConversion"/>
  </si>
  <si>
    <t>TW0721A2HR</t>
  </si>
  <si>
    <t>TW0901A2HR</t>
  </si>
  <si>
    <t>TW1001A2HR</t>
  </si>
  <si>
    <t>TW1001A9HR</t>
  </si>
  <si>
    <t>TW1101A2HR</t>
  </si>
  <si>
    <t>TW1101A9HR</t>
  </si>
  <si>
    <t>TW1301A2HR</t>
  </si>
  <si>
    <t>TW1301A9HR</t>
  </si>
  <si>
    <t>TW1451A9HR</t>
  </si>
  <si>
    <t>1등급_듀얼베인 판넬</t>
  </si>
  <si>
    <t>1등급_듀얼베인 판넬</t>
    <phoneticPr fontId="2" type="noConversion"/>
  </si>
  <si>
    <t>1등급</t>
    <phoneticPr fontId="2" type="noConversion"/>
  </si>
  <si>
    <t>싱글베인</t>
    <phoneticPr fontId="2" type="noConversion"/>
  </si>
  <si>
    <t>원형</t>
    <phoneticPr fontId="2" type="noConversion"/>
  </si>
  <si>
    <t>원형_블랙</t>
    <phoneticPr fontId="2" type="noConversion"/>
  </si>
  <si>
    <t>매립덕트</t>
    <phoneticPr fontId="2" type="noConversion"/>
  </si>
  <si>
    <t>상업용</t>
    <phoneticPr fontId="2" type="noConversion"/>
  </si>
  <si>
    <t>TQ0232U2S</t>
  </si>
  <si>
    <t>TQ0322U2S</t>
  </si>
  <si>
    <t>TQ0401U2S</t>
  </si>
  <si>
    <t>TQ0521T2S</t>
  </si>
  <si>
    <t>TQ0601T2S</t>
  </si>
  <si>
    <t>TQ0721T2S</t>
  </si>
  <si>
    <t>자재박스 포함</t>
    <phoneticPr fontId="2" type="noConversion"/>
  </si>
  <si>
    <t>자재박스 제외</t>
    <phoneticPr fontId="2" type="noConversion"/>
  </si>
  <si>
    <t>PW0520R2L</t>
  </si>
  <si>
    <t>PW0600R2L</t>
  </si>
  <si>
    <t>PW0720R2L</t>
  </si>
  <si>
    <t>PW0830R2L</t>
  </si>
  <si>
    <t>PW1100T2L</t>
  </si>
  <si>
    <t>PW1100T9L</t>
  </si>
  <si>
    <t>PW1300T2L</t>
  </si>
  <si>
    <t>PW1300T9L</t>
  </si>
  <si>
    <t>PW1450T9L</t>
  </si>
  <si>
    <t>PQ0900T2SF</t>
  </si>
  <si>
    <t>PQ1100T2FR</t>
  </si>
  <si>
    <t>PQ1450T2FR</t>
  </si>
  <si>
    <t>SW07FK1WAS</t>
  </si>
  <si>
    <t>SW09FK1WAS</t>
  </si>
  <si>
    <t>SW11EK1WAS</t>
  </si>
  <si>
    <t>SW13EK1WAS</t>
  </si>
  <si>
    <t>SW16EK1WAS</t>
  </si>
  <si>
    <t>SQ06EZ1WBS</t>
  </si>
  <si>
    <t>SQ07FA3WBS</t>
  </si>
  <si>
    <t>SQ09EJ1WAS</t>
  </si>
  <si>
    <t>SQ11EK1WES</t>
  </si>
  <si>
    <t>SQ13EK1WAS</t>
  </si>
  <si>
    <t>SQ16EK1WAS</t>
  </si>
  <si>
    <t>PQ2300F9SF</t>
    <phoneticPr fontId="2" type="noConversion"/>
  </si>
  <si>
    <t>PFP-WU2SW 포함</t>
    <phoneticPr fontId="2" type="noConversion"/>
  </si>
  <si>
    <t>PFP-WT2SW 포함</t>
    <phoneticPr fontId="2" type="noConversion"/>
  </si>
  <si>
    <t>PFP-VU2SW 포함</t>
    <phoneticPr fontId="2" type="noConversion"/>
  </si>
  <si>
    <t>PFP-VT2SW 포함</t>
    <phoneticPr fontId="2" type="noConversion"/>
  </si>
  <si>
    <t>PFP-WS0SW 포함</t>
    <phoneticPr fontId="2" type="noConversion"/>
  </si>
  <si>
    <t>PFP-WQ2SW 포함</t>
    <phoneticPr fontId="2" type="noConversion"/>
  </si>
  <si>
    <t>PFP-WA4CW 포함</t>
    <phoneticPr fontId="2" type="noConversion"/>
  </si>
  <si>
    <t>PFP-WM5SW 포함</t>
    <phoneticPr fontId="2" type="noConversion"/>
  </si>
  <si>
    <t>16실</t>
    <phoneticPr fontId="2" type="noConversion"/>
  </si>
  <si>
    <t>32실</t>
    <phoneticPr fontId="2" type="noConversion"/>
  </si>
  <si>
    <t>PCS-Z150S0</t>
    <phoneticPr fontId="2" type="noConversion"/>
  </si>
  <si>
    <t>PACEZB000</t>
    <phoneticPr fontId="2" type="noConversion"/>
  </si>
  <si>
    <t>PACS5A000</t>
    <phoneticPr fontId="2" type="noConversion"/>
  </si>
  <si>
    <t>PACP5A000</t>
    <phoneticPr fontId="2" type="noConversion"/>
  </si>
  <si>
    <t>AC 스마트</t>
    <phoneticPr fontId="2" type="noConversion"/>
  </si>
  <si>
    <t>ACP5(256실)</t>
    <phoneticPr fontId="2" type="noConversion"/>
  </si>
  <si>
    <t>AC 매니저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</si>
</sst>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1" applyNumberFormat="1" applyFont="1">
      <alignment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A1A7E-A275-4CB7-BBDF-5CAAB8ECC4C2}">
  <dimension ref="A1:C627"/>
  <sheetViews>
    <sheetView tabSelected="1" topLeftCell="A562" workbookViewId="0">
      <selection activeCell="B609" sqref="B609"/>
    </sheetView>
  </sheetViews>
  <sheetFormatPr defaultRowHeight="16.5" x14ac:dyDescent="0.3"/>
  <cols>
    <col min="1" max="1" width="26.625" bestFit="1" customWidth="1"/>
    <col min="2" max="2" width="26.625" customWidth="1"/>
    <col min="3" max="3" width="10.875" bestFit="1" customWidth="1"/>
  </cols>
  <sheetData>
    <row r="1" spans="1:3" x14ac:dyDescent="0.3">
      <c r="A1" t="s">
        <v>0</v>
      </c>
      <c r="B1" t="s">
        <v>530</v>
      </c>
      <c r="C1" t="s">
        <v>1</v>
      </c>
    </row>
    <row r="2" spans="1:3" x14ac:dyDescent="0.3">
      <c r="A2" t="s">
        <v>531</v>
      </c>
      <c r="B2" t="s">
        <v>532</v>
      </c>
      <c r="C2" s="1">
        <v>1440600</v>
      </c>
    </row>
    <row r="3" spans="1:3" x14ac:dyDescent="0.3">
      <c r="A3" t="s">
        <v>531</v>
      </c>
      <c r="B3" t="s">
        <v>533</v>
      </c>
      <c r="C3" s="1">
        <v>1452700</v>
      </c>
    </row>
    <row r="4" spans="1:3" x14ac:dyDescent="0.3">
      <c r="A4" t="s">
        <v>534</v>
      </c>
      <c r="B4" t="s">
        <v>532</v>
      </c>
      <c r="C4" s="1">
        <v>1559600</v>
      </c>
    </row>
    <row r="5" spans="1:3" x14ac:dyDescent="0.3">
      <c r="A5" t="s">
        <v>534</v>
      </c>
      <c r="B5" t="s">
        <v>533</v>
      </c>
      <c r="C5" s="1">
        <v>1571700</v>
      </c>
    </row>
    <row r="6" spans="1:3" x14ac:dyDescent="0.3">
      <c r="A6" t="s">
        <v>535</v>
      </c>
      <c r="B6" t="s">
        <v>532</v>
      </c>
      <c r="C6" s="1">
        <v>1832600</v>
      </c>
    </row>
    <row r="7" spans="1:3" x14ac:dyDescent="0.3">
      <c r="A7" t="s">
        <v>535</v>
      </c>
      <c r="B7" t="s">
        <v>533</v>
      </c>
      <c r="C7" s="1">
        <v>1844700</v>
      </c>
    </row>
    <row r="8" spans="1:3" x14ac:dyDescent="0.3">
      <c r="A8" t="s">
        <v>12</v>
      </c>
      <c r="C8" s="1">
        <v>2226400</v>
      </c>
    </row>
    <row r="9" spans="1:3" x14ac:dyDescent="0.3">
      <c r="A9" t="s">
        <v>13</v>
      </c>
      <c r="C9" s="1">
        <v>2486000</v>
      </c>
    </row>
    <row r="10" spans="1:3" x14ac:dyDescent="0.3">
      <c r="A10" t="s">
        <v>536</v>
      </c>
      <c r="B10" t="s">
        <v>546</v>
      </c>
      <c r="C10" s="1">
        <v>3229300</v>
      </c>
    </row>
    <row r="11" spans="1:3" x14ac:dyDescent="0.3">
      <c r="A11" t="s">
        <v>537</v>
      </c>
      <c r="B11" t="s">
        <v>545</v>
      </c>
      <c r="C11" s="1">
        <v>3382300</v>
      </c>
    </row>
    <row r="12" spans="1:3" x14ac:dyDescent="0.3">
      <c r="A12" t="s">
        <v>538</v>
      </c>
      <c r="B12" t="s">
        <v>545</v>
      </c>
      <c r="C12">
        <v>3708300</v>
      </c>
    </row>
    <row r="13" spans="1:3" x14ac:dyDescent="0.3">
      <c r="A13" t="s">
        <v>539</v>
      </c>
      <c r="B13" t="s">
        <v>545</v>
      </c>
      <c r="C13">
        <v>3708300</v>
      </c>
    </row>
    <row r="14" spans="1:3" x14ac:dyDescent="0.3">
      <c r="A14" t="s">
        <v>540</v>
      </c>
      <c r="B14" t="s">
        <v>545</v>
      </c>
      <c r="C14">
        <v>3799300</v>
      </c>
    </row>
    <row r="15" spans="1:3" x14ac:dyDescent="0.3">
      <c r="A15" t="s">
        <v>541</v>
      </c>
      <c r="B15" t="s">
        <v>545</v>
      </c>
      <c r="C15">
        <v>3799300</v>
      </c>
    </row>
    <row r="16" spans="1:3" x14ac:dyDescent="0.3">
      <c r="A16" t="s">
        <v>542</v>
      </c>
      <c r="B16" t="s">
        <v>545</v>
      </c>
      <c r="C16">
        <v>4205300</v>
      </c>
    </row>
    <row r="17" spans="1:3" x14ac:dyDescent="0.3">
      <c r="A17" t="s">
        <v>543</v>
      </c>
      <c r="B17" t="s">
        <v>545</v>
      </c>
      <c r="C17">
        <v>4205300</v>
      </c>
    </row>
    <row r="18" spans="1:3" x14ac:dyDescent="0.3">
      <c r="A18" t="s">
        <v>544</v>
      </c>
      <c r="B18" t="s">
        <v>545</v>
      </c>
      <c r="C18">
        <v>4359300</v>
      </c>
    </row>
    <row r="19" spans="1:3" x14ac:dyDescent="0.3">
      <c r="A19" t="s">
        <v>536</v>
      </c>
      <c r="B19" t="s">
        <v>547</v>
      </c>
      <c r="C19">
        <v>3265600</v>
      </c>
    </row>
    <row r="20" spans="1:3" x14ac:dyDescent="0.3">
      <c r="A20" t="s">
        <v>537</v>
      </c>
      <c r="B20" t="s">
        <v>547</v>
      </c>
      <c r="C20">
        <v>3418600</v>
      </c>
    </row>
    <row r="21" spans="1:3" x14ac:dyDescent="0.3">
      <c r="A21" t="s">
        <v>538</v>
      </c>
      <c r="B21" t="s">
        <v>547</v>
      </c>
      <c r="C21">
        <v>3744600</v>
      </c>
    </row>
    <row r="22" spans="1:3" x14ac:dyDescent="0.3">
      <c r="A22" t="s">
        <v>539</v>
      </c>
      <c r="B22" t="s">
        <v>547</v>
      </c>
      <c r="C22">
        <v>3744600</v>
      </c>
    </row>
    <row r="23" spans="1:3" x14ac:dyDescent="0.3">
      <c r="A23" t="s">
        <v>540</v>
      </c>
      <c r="B23" t="s">
        <v>547</v>
      </c>
      <c r="C23">
        <v>3835600</v>
      </c>
    </row>
    <row r="24" spans="1:3" x14ac:dyDescent="0.3">
      <c r="A24" t="s">
        <v>541</v>
      </c>
      <c r="B24" t="s">
        <v>547</v>
      </c>
      <c r="C24">
        <v>3835600</v>
      </c>
    </row>
    <row r="25" spans="1:3" x14ac:dyDescent="0.3">
      <c r="A25" t="s">
        <v>542</v>
      </c>
      <c r="B25" t="s">
        <v>547</v>
      </c>
      <c r="C25">
        <v>4241600</v>
      </c>
    </row>
    <row r="26" spans="1:3" x14ac:dyDescent="0.3">
      <c r="A26" t="s">
        <v>543</v>
      </c>
      <c r="B26" t="s">
        <v>547</v>
      </c>
      <c r="C26">
        <v>4241600</v>
      </c>
    </row>
    <row r="27" spans="1:3" x14ac:dyDescent="0.3">
      <c r="A27" t="s">
        <v>544</v>
      </c>
      <c r="B27" t="s">
        <v>547</v>
      </c>
      <c r="C27">
        <v>4395600</v>
      </c>
    </row>
    <row r="28" spans="1:3" x14ac:dyDescent="0.3">
      <c r="A28" t="s">
        <v>2</v>
      </c>
      <c r="C28">
        <v>2082300</v>
      </c>
    </row>
    <row r="29" spans="1:3" x14ac:dyDescent="0.3">
      <c r="A29" t="s">
        <v>3</v>
      </c>
      <c r="C29">
        <v>2280300</v>
      </c>
    </row>
    <row r="30" spans="1:3" x14ac:dyDescent="0.3">
      <c r="A30" t="s">
        <v>4</v>
      </c>
      <c r="C30">
        <v>2470600</v>
      </c>
    </row>
    <row r="31" spans="1:3" x14ac:dyDescent="0.3">
      <c r="A31" t="s">
        <v>5</v>
      </c>
      <c r="C31">
        <v>2731300</v>
      </c>
    </row>
    <row r="32" spans="1:3" x14ac:dyDescent="0.3">
      <c r="A32" t="s">
        <v>6</v>
      </c>
      <c r="C32">
        <v>2731300</v>
      </c>
    </row>
    <row r="33" spans="1:3" x14ac:dyDescent="0.3">
      <c r="A33" t="s">
        <v>7</v>
      </c>
      <c r="C33">
        <v>2764300</v>
      </c>
    </row>
    <row r="34" spans="1:3" x14ac:dyDescent="0.3">
      <c r="A34" t="s">
        <v>8</v>
      </c>
      <c r="C34">
        <v>2764300</v>
      </c>
    </row>
    <row r="35" spans="1:3" x14ac:dyDescent="0.3">
      <c r="A35" t="s">
        <v>9</v>
      </c>
      <c r="C35">
        <v>2940300</v>
      </c>
    </row>
    <row r="36" spans="1:3" x14ac:dyDescent="0.3">
      <c r="A36" t="s">
        <v>10</v>
      </c>
      <c r="C36">
        <v>2940300</v>
      </c>
    </row>
    <row r="37" spans="1:3" x14ac:dyDescent="0.3">
      <c r="A37" t="s">
        <v>11</v>
      </c>
      <c r="C37">
        <v>3193300</v>
      </c>
    </row>
    <row r="38" spans="1:3" x14ac:dyDescent="0.3">
      <c r="A38" t="s">
        <v>14</v>
      </c>
      <c r="C38">
        <v>1381900</v>
      </c>
    </row>
    <row r="39" spans="1:3" x14ac:dyDescent="0.3">
      <c r="A39" t="s">
        <v>15</v>
      </c>
      <c r="C39">
        <v>1494900</v>
      </c>
    </row>
    <row r="40" spans="1:3" x14ac:dyDescent="0.3">
      <c r="A40" t="s">
        <v>16</v>
      </c>
      <c r="B40" t="s">
        <v>548</v>
      </c>
      <c r="C40">
        <v>1595600</v>
      </c>
    </row>
    <row r="41" spans="1:3" x14ac:dyDescent="0.3">
      <c r="A41" t="s">
        <v>17</v>
      </c>
      <c r="B41" t="s">
        <v>548</v>
      </c>
      <c r="C41">
        <v>1746600</v>
      </c>
    </row>
    <row r="42" spans="1:3" x14ac:dyDescent="0.3">
      <c r="A42" t="s">
        <v>18</v>
      </c>
      <c r="B42" t="s">
        <v>548</v>
      </c>
      <c r="C42">
        <v>1746600</v>
      </c>
    </row>
    <row r="43" spans="1:3" x14ac:dyDescent="0.3">
      <c r="A43" t="s">
        <v>19</v>
      </c>
      <c r="B43" t="s">
        <v>548</v>
      </c>
      <c r="C43">
        <v>1779600</v>
      </c>
    </row>
    <row r="44" spans="1:3" x14ac:dyDescent="0.3">
      <c r="A44" t="s">
        <v>20</v>
      </c>
      <c r="B44" t="s">
        <v>548</v>
      </c>
      <c r="C44">
        <v>1779600</v>
      </c>
    </row>
    <row r="45" spans="1:3" x14ac:dyDescent="0.3">
      <c r="A45" t="s">
        <v>21</v>
      </c>
      <c r="B45" t="s">
        <v>548</v>
      </c>
      <c r="C45">
        <v>1890900</v>
      </c>
    </row>
    <row r="46" spans="1:3" x14ac:dyDescent="0.3">
      <c r="A46" t="s">
        <v>22</v>
      </c>
      <c r="B46" t="s">
        <v>548</v>
      </c>
      <c r="C46">
        <v>1890900</v>
      </c>
    </row>
    <row r="47" spans="1:3" x14ac:dyDescent="0.3">
      <c r="A47" t="s">
        <v>23</v>
      </c>
      <c r="B47" t="s">
        <v>548</v>
      </c>
      <c r="C47">
        <v>2044400</v>
      </c>
    </row>
    <row r="48" spans="1:3" x14ac:dyDescent="0.3">
      <c r="A48" t="s">
        <v>24</v>
      </c>
      <c r="B48" t="s">
        <v>549</v>
      </c>
      <c r="C48">
        <v>2521000</v>
      </c>
    </row>
    <row r="49" spans="1:3" x14ac:dyDescent="0.3">
      <c r="A49" t="s">
        <v>25</v>
      </c>
      <c r="B49" t="s">
        <v>549</v>
      </c>
      <c r="C49">
        <v>2803000</v>
      </c>
    </row>
    <row r="50" spans="1:3" x14ac:dyDescent="0.3">
      <c r="A50" t="s">
        <v>26</v>
      </c>
      <c r="B50" t="s">
        <v>549</v>
      </c>
      <c r="C50">
        <v>3227000</v>
      </c>
    </row>
    <row r="51" spans="1:3" x14ac:dyDescent="0.3">
      <c r="A51" t="s">
        <v>27</v>
      </c>
      <c r="B51" t="s">
        <v>549</v>
      </c>
      <c r="C51">
        <v>3227000</v>
      </c>
    </row>
    <row r="52" spans="1:3" x14ac:dyDescent="0.3">
      <c r="A52" t="s">
        <v>28</v>
      </c>
      <c r="B52" t="s">
        <v>549</v>
      </c>
      <c r="C52">
        <v>3789000</v>
      </c>
    </row>
    <row r="53" spans="1:3" x14ac:dyDescent="0.3">
      <c r="A53" t="s">
        <v>29</v>
      </c>
      <c r="B53" t="s">
        <v>550</v>
      </c>
      <c r="C53">
        <v>2631000</v>
      </c>
    </row>
    <row r="54" spans="1:3" x14ac:dyDescent="0.3">
      <c r="A54" t="s">
        <v>30</v>
      </c>
      <c r="B54" t="s">
        <v>550</v>
      </c>
      <c r="C54">
        <v>2903000</v>
      </c>
    </row>
    <row r="55" spans="1:3" x14ac:dyDescent="0.3">
      <c r="A55" t="s">
        <v>31</v>
      </c>
      <c r="B55" t="s">
        <v>550</v>
      </c>
      <c r="C55">
        <v>3337000</v>
      </c>
    </row>
    <row r="56" spans="1:3" x14ac:dyDescent="0.3">
      <c r="A56" t="s">
        <v>32</v>
      </c>
      <c r="B56" t="s">
        <v>550</v>
      </c>
      <c r="C56">
        <v>3337000</v>
      </c>
    </row>
    <row r="57" spans="1:3" x14ac:dyDescent="0.3">
      <c r="A57" t="s">
        <v>33</v>
      </c>
      <c r="B57" t="s">
        <v>550</v>
      </c>
      <c r="C57">
        <v>3899000</v>
      </c>
    </row>
    <row r="58" spans="1:3" x14ac:dyDescent="0.3">
      <c r="A58" t="s">
        <v>34</v>
      </c>
      <c r="B58" t="s">
        <v>551</v>
      </c>
      <c r="C58">
        <v>3349000</v>
      </c>
    </row>
    <row r="59" spans="1:3" x14ac:dyDescent="0.3">
      <c r="A59" t="s">
        <v>35</v>
      </c>
      <c r="B59" t="s">
        <v>551</v>
      </c>
      <c r="C59">
        <v>3847000</v>
      </c>
    </row>
    <row r="60" spans="1:3" x14ac:dyDescent="0.3">
      <c r="A60" t="s">
        <v>36</v>
      </c>
      <c r="B60" t="s">
        <v>552</v>
      </c>
      <c r="C60">
        <v>2123000</v>
      </c>
    </row>
    <row r="61" spans="1:3" x14ac:dyDescent="0.3">
      <c r="A61" t="s">
        <v>37</v>
      </c>
      <c r="B61" t="s">
        <v>552</v>
      </c>
      <c r="C61">
        <v>2376000</v>
      </c>
    </row>
    <row r="62" spans="1:3" x14ac:dyDescent="0.3">
      <c r="A62" t="s">
        <v>38</v>
      </c>
      <c r="B62" t="s">
        <v>552</v>
      </c>
      <c r="C62">
        <v>3047000</v>
      </c>
    </row>
    <row r="63" spans="1:3" x14ac:dyDescent="0.3">
      <c r="A63" t="s">
        <v>39</v>
      </c>
      <c r="B63" t="s">
        <v>552</v>
      </c>
      <c r="C63">
        <v>3157000</v>
      </c>
    </row>
    <row r="64" spans="1:3" x14ac:dyDescent="0.3">
      <c r="A64" t="s">
        <v>553</v>
      </c>
      <c r="B64" t="s">
        <v>532</v>
      </c>
      <c r="C64">
        <v>1143000</v>
      </c>
    </row>
    <row r="65" spans="1:3" x14ac:dyDescent="0.3">
      <c r="A65" t="s">
        <v>553</v>
      </c>
      <c r="B65" t="s">
        <v>533</v>
      </c>
      <c r="C65">
        <v>1155100</v>
      </c>
    </row>
    <row r="66" spans="1:3" x14ac:dyDescent="0.3">
      <c r="A66" t="s">
        <v>554</v>
      </c>
      <c r="B66" t="s">
        <v>532</v>
      </c>
      <c r="C66">
        <v>1276000</v>
      </c>
    </row>
    <row r="67" spans="1:3" x14ac:dyDescent="0.3">
      <c r="A67" t="s">
        <v>554</v>
      </c>
      <c r="B67" t="s">
        <v>533</v>
      </c>
      <c r="C67">
        <v>1288100</v>
      </c>
    </row>
    <row r="68" spans="1:3" x14ac:dyDescent="0.3">
      <c r="A68" t="s">
        <v>555</v>
      </c>
      <c r="B68" t="s">
        <v>532</v>
      </c>
      <c r="C68">
        <v>1454500</v>
      </c>
    </row>
    <row r="69" spans="1:3" x14ac:dyDescent="0.3">
      <c r="A69" t="s">
        <v>555</v>
      </c>
      <c r="B69" t="s">
        <v>533</v>
      </c>
      <c r="C69">
        <v>1466600</v>
      </c>
    </row>
    <row r="70" spans="1:3" x14ac:dyDescent="0.3">
      <c r="A70" t="s">
        <v>556</v>
      </c>
      <c r="B70" t="s">
        <v>532</v>
      </c>
      <c r="C70">
        <v>1613800</v>
      </c>
    </row>
    <row r="71" spans="1:3" x14ac:dyDescent="0.3">
      <c r="A71" t="s">
        <v>556</v>
      </c>
      <c r="B71" t="s">
        <v>533</v>
      </c>
      <c r="C71">
        <v>1624800</v>
      </c>
    </row>
    <row r="72" spans="1:3" x14ac:dyDescent="0.3">
      <c r="A72" t="s">
        <v>557</v>
      </c>
      <c r="B72" t="s">
        <v>532</v>
      </c>
      <c r="C72">
        <v>1713800</v>
      </c>
    </row>
    <row r="73" spans="1:3" x14ac:dyDescent="0.3">
      <c r="A73" t="s">
        <v>557</v>
      </c>
      <c r="B73" t="s">
        <v>533</v>
      </c>
      <c r="C73">
        <v>1724800</v>
      </c>
    </row>
    <row r="74" spans="1:3" x14ac:dyDescent="0.3">
      <c r="A74" t="s">
        <v>558</v>
      </c>
      <c r="B74" t="s">
        <v>532</v>
      </c>
      <c r="C74">
        <v>1823800</v>
      </c>
    </row>
    <row r="75" spans="1:3" x14ac:dyDescent="0.3">
      <c r="A75" t="s">
        <v>558</v>
      </c>
      <c r="B75" t="s">
        <v>533</v>
      </c>
      <c r="C75">
        <v>1834800</v>
      </c>
    </row>
    <row r="76" spans="1:3" x14ac:dyDescent="0.3">
      <c r="A76" t="s">
        <v>40</v>
      </c>
      <c r="C76">
        <v>1800300</v>
      </c>
    </row>
    <row r="77" spans="1:3" x14ac:dyDescent="0.3">
      <c r="A77" t="s">
        <v>41</v>
      </c>
      <c r="C77">
        <v>1860300</v>
      </c>
    </row>
    <row r="78" spans="1:3" x14ac:dyDescent="0.3">
      <c r="A78" t="s">
        <v>42</v>
      </c>
      <c r="C78">
        <v>2040300</v>
      </c>
    </row>
    <row r="79" spans="1:3" x14ac:dyDescent="0.3">
      <c r="A79" t="s">
        <v>43</v>
      </c>
      <c r="C79">
        <v>2459700</v>
      </c>
    </row>
    <row r="80" spans="1:3" x14ac:dyDescent="0.3">
      <c r="A80" t="s">
        <v>44</v>
      </c>
      <c r="C80">
        <v>2840300</v>
      </c>
    </row>
    <row r="81" spans="1:3" x14ac:dyDescent="0.3">
      <c r="A81" t="s">
        <v>561</v>
      </c>
      <c r="B81" t="s">
        <v>559</v>
      </c>
      <c r="C81">
        <v>1666500</v>
      </c>
    </row>
    <row r="82" spans="1:3" x14ac:dyDescent="0.3">
      <c r="A82" t="s">
        <v>561</v>
      </c>
      <c r="B82" t="s">
        <v>560</v>
      </c>
      <c r="C82">
        <f>1666500-137500</f>
        <v>1529000</v>
      </c>
    </row>
    <row r="83" spans="1:3" x14ac:dyDescent="0.3">
      <c r="A83" t="s">
        <v>562</v>
      </c>
      <c r="B83" t="s">
        <v>559</v>
      </c>
      <c r="C83">
        <v>1746800</v>
      </c>
    </row>
    <row r="84" spans="1:3" x14ac:dyDescent="0.3">
      <c r="A84" t="s">
        <v>562</v>
      </c>
      <c r="B84" t="s">
        <v>560</v>
      </c>
      <c r="C84">
        <f>1746800-137500</f>
        <v>1609300</v>
      </c>
    </row>
    <row r="85" spans="1:3" x14ac:dyDescent="0.3">
      <c r="A85" t="s">
        <v>563</v>
      </c>
      <c r="B85" t="s">
        <v>559</v>
      </c>
      <c r="C85">
        <v>1893100</v>
      </c>
    </row>
    <row r="86" spans="1:3" x14ac:dyDescent="0.3">
      <c r="A86" t="s">
        <v>563</v>
      </c>
      <c r="B86" t="s">
        <v>560</v>
      </c>
      <c r="C86">
        <f>1893100-189200</f>
        <v>1703900</v>
      </c>
    </row>
    <row r="87" spans="1:3" x14ac:dyDescent="0.3">
      <c r="A87" t="s">
        <v>564</v>
      </c>
      <c r="B87" t="s">
        <v>559</v>
      </c>
      <c r="C87">
        <f>1908500</f>
        <v>1908500</v>
      </c>
    </row>
    <row r="88" spans="1:3" x14ac:dyDescent="0.3">
      <c r="A88" t="s">
        <v>564</v>
      </c>
      <c r="B88" t="s">
        <v>560</v>
      </c>
      <c r="C88">
        <f>1908500-189200</f>
        <v>1719300</v>
      </c>
    </row>
    <row r="89" spans="1:3" x14ac:dyDescent="0.3">
      <c r="A89" t="s">
        <v>565</v>
      </c>
      <c r="B89" t="s">
        <v>559</v>
      </c>
      <c r="C89">
        <v>2530000</v>
      </c>
    </row>
    <row r="90" spans="1:3" x14ac:dyDescent="0.3">
      <c r="A90" t="s">
        <v>565</v>
      </c>
      <c r="B90" t="s">
        <v>560</v>
      </c>
      <c r="C90">
        <f>2530000-236500</f>
        <v>2293500</v>
      </c>
    </row>
    <row r="91" spans="1:3" x14ac:dyDescent="0.3">
      <c r="A91" t="s">
        <v>566</v>
      </c>
      <c r="B91" t="s">
        <v>559</v>
      </c>
      <c r="C91">
        <v>2530000</v>
      </c>
    </row>
    <row r="92" spans="1:3" x14ac:dyDescent="0.3">
      <c r="A92" t="s">
        <v>566</v>
      </c>
      <c r="B92" t="s">
        <v>560</v>
      </c>
      <c r="C92">
        <f>2530000-236500</f>
        <v>2293500</v>
      </c>
    </row>
    <row r="93" spans="1:3" x14ac:dyDescent="0.3">
      <c r="A93" t="s">
        <v>567</v>
      </c>
      <c r="B93" t="s">
        <v>559</v>
      </c>
      <c r="C93">
        <v>2674100</v>
      </c>
    </row>
    <row r="94" spans="1:3" x14ac:dyDescent="0.3">
      <c r="A94" t="s">
        <v>567</v>
      </c>
      <c r="B94" t="s">
        <v>560</v>
      </c>
      <c r="C94">
        <f>2674100-236500</f>
        <v>2437600</v>
      </c>
    </row>
    <row r="95" spans="1:3" x14ac:dyDescent="0.3">
      <c r="A95" t="s">
        <v>568</v>
      </c>
      <c r="B95" t="s">
        <v>559</v>
      </c>
      <c r="C95">
        <v>2674100</v>
      </c>
    </row>
    <row r="96" spans="1:3" x14ac:dyDescent="0.3">
      <c r="A96" t="s">
        <v>568</v>
      </c>
      <c r="B96" t="s">
        <v>560</v>
      </c>
      <c r="C96">
        <f>2674100-236500</f>
        <v>2437600</v>
      </c>
    </row>
    <row r="97" spans="1:3" x14ac:dyDescent="0.3">
      <c r="A97" t="s">
        <v>569</v>
      </c>
      <c r="B97" t="s">
        <v>559</v>
      </c>
      <c r="C97">
        <v>2725800</v>
      </c>
    </row>
    <row r="98" spans="1:3" x14ac:dyDescent="0.3">
      <c r="A98" t="s">
        <v>569</v>
      </c>
      <c r="B98" t="s">
        <v>560</v>
      </c>
      <c r="C98">
        <f>2725800-236500</f>
        <v>2489300</v>
      </c>
    </row>
    <row r="99" spans="1:3" x14ac:dyDescent="0.3">
      <c r="A99" t="s">
        <v>45</v>
      </c>
      <c r="C99">
        <v>6699000</v>
      </c>
    </row>
    <row r="100" spans="1:3" x14ac:dyDescent="0.3">
      <c r="A100" t="s">
        <v>46</v>
      </c>
      <c r="C100">
        <v>7558000</v>
      </c>
    </row>
    <row r="101" spans="1:3" x14ac:dyDescent="0.3">
      <c r="A101" t="s">
        <v>570</v>
      </c>
      <c r="B101" t="s">
        <v>559</v>
      </c>
      <c r="C101">
        <v>2047200</v>
      </c>
    </row>
    <row r="102" spans="1:3" x14ac:dyDescent="0.3">
      <c r="A102" t="s">
        <v>570</v>
      </c>
      <c r="B102" t="s">
        <v>560</v>
      </c>
      <c r="C102">
        <f>2047200-189200</f>
        <v>1858000</v>
      </c>
    </row>
    <row r="103" spans="1:3" x14ac:dyDescent="0.3">
      <c r="A103" t="s">
        <v>571</v>
      </c>
      <c r="B103" t="s">
        <v>559</v>
      </c>
      <c r="C103">
        <v>2308600</v>
      </c>
    </row>
    <row r="104" spans="1:3" x14ac:dyDescent="0.3">
      <c r="A104" t="s">
        <v>571</v>
      </c>
      <c r="B104" t="s">
        <v>560</v>
      </c>
      <c r="C104">
        <f>2308600-189200</f>
        <v>2119400</v>
      </c>
    </row>
    <row r="105" spans="1:3" x14ac:dyDescent="0.3">
      <c r="A105" t="s">
        <v>572</v>
      </c>
      <c r="B105" t="s">
        <v>559</v>
      </c>
      <c r="C105">
        <v>2998100</v>
      </c>
    </row>
    <row r="106" spans="1:3" x14ac:dyDescent="0.3">
      <c r="A106" t="s">
        <v>572</v>
      </c>
      <c r="B106" t="s">
        <v>560</v>
      </c>
      <c r="C106">
        <f>2998100-236500</f>
        <v>2761600</v>
      </c>
    </row>
    <row r="107" spans="1:3" x14ac:dyDescent="0.3">
      <c r="A107" t="s">
        <v>584</v>
      </c>
      <c r="C107">
        <v>5733200</v>
      </c>
    </row>
    <row r="108" spans="1:3" x14ac:dyDescent="0.3">
      <c r="A108" t="s">
        <v>47</v>
      </c>
      <c r="C108">
        <v>6612100</v>
      </c>
    </row>
    <row r="109" spans="1:3" x14ac:dyDescent="0.3">
      <c r="A109" t="s">
        <v>48</v>
      </c>
      <c r="C109">
        <v>11028600</v>
      </c>
    </row>
    <row r="110" spans="1:3" x14ac:dyDescent="0.3">
      <c r="A110" t="s">
        <v>49</v>
      </c>
      <c r="C110">
        <v>12393700</v>
      </c>
    </row>
    <row r="111" spans="1:3" x14ac:dyDescent="0.3">
      <c r="A111" t="s">
        <v>573</v>
      </c>
      <c r="B111" t="s">
        <v>559</v>
      </c>
      <c r="C111">
        <v>1284500</v>
      </c>
    </row>
    <row r="112" spans="1:3" x14ac:dyDescent="0.3">
      <c r="A112" t="s">
        <v>573</v>
      </c>
      <c r="B112" t="s">
        <v>560</v>
      </c>
      <c r="C112">
        <f>1284500-70000</f>
        <v>1214500</v>
      </c>
    </row>
    <row r="113" spans="1:3" x14ac:dyDescent="0.3">
      <c r="A113" t="s">
        <v>574</v>
      </c>
      <c r="B113" t="s">
        <v>559</v>
      </c>
      <c r="C113">
        <v>1384500</v>
      </c>
    </row>
    <row r="114" spans="1:3" x14ac:dyDescent="0.3">
      <c r="A114" t="s">
        <v>574</v>
      </c>
      <c r="B114" t="s">
        <v>560</v>
      </c>
      <c r="C114">
        <f>1384500-70000</f>
        <v>1314500</v>
      </c>
    </row>
    <row r="115" spans="1:3" x14ac:dyDescent="0.3">
      <c r="A115" t="s">
        <v>575</v>
      </c>
      <c r="B115" t="s">
        <v>559</v>
      </c>
      <c r="C115">
        <v>1483400</v>
      </c>
    </row>
    <row r="116" spans="1:3" x14ac:dyDescent="0.3">
      <c r="A116" t="s">
        <v>575</v>
      </c>
      <c r="B116" t="s">
        <v>560</v>
      </c>
      <c r="C116">
        <f>1483400-70000</f>
        <v>1413400</v>
      </c>
    </row>
    <row r="117" spans="1:3" x14ac:dyDescent="0.3">
      <c r="A117" t="s">
        <v>576</v>
      </c>
      <c r="B117" t="s">
        <v>559</v>
      </c>
      <c r="C117">
        <v>1629000</v>
      </c>
    </row>
    <row r="118" spans="1:3" x14ac:dyDescent="0.3">
      <c r="A118" t="s">
        <v>576</v>
      </c>
      <c r="B118" t="s">
        <v>560</v>
      </c>
      <c r="C118">
        <f>1629000-70000</f>
        <v>1559000</v>
      </c>
    </row>
    <row r="119" spans="1:3" x14ac:dyDescent="0.3">
      <c r="A119" t="s">
        <v>577</v>
      </c>
      <c r="B119" t="s">
        <v>559</v>
      </c>
      <c r="C119">
        <v>1937200</v>
      </c>
    </row>
    <row r="120" spans="1:3" x14ac:dyDescent="0.3">
      <c r="A120" t="s">
        <v>577</v>
      </c>
      <c r="B120" t="s">
        <v>560</v>
      </c>
      <c r="C120">
        <f>1937200-100000</f>
        <v>1837200</v>
      </c>
    </row>
    <row r="121" spans="1:3" x14ac:dyDescent="0.3">
      <c r="A121" t="s">
        <v>578</v>
      </c>
      <c r="B121" t="s">
        <v>559</v>
      </c>
      <c r="C121">
        <v>520900</v>
      </c>
    </row>
    <row r="122" spans="1:3" x14ac:dyDescent="0.3">
      <c r="A122" t="s">
        <v>578</v>
      </c>
      <c r="B122" t="s">
        <v>560</v>
      </c>
      <c r="C122">
        <f>520900-50000</f>
        <v>470900</v>
      </c>
    </row>
    <row r="123" spans="1:3" x14ac:dyDescent="0.3">
      <c r="A123" t="s">
        <v>579</v>
      </c>
      <c r="B123" t="s">
        <v>559</v>
      </c>
      <c r="C123">
        <v>697800</v>
      </c>
    </row>
    <row r="124" spans="1:3" x14ac:dyDescent="0.3">
      <c r="A124" t="s">
        <v>579</v>
      </c>
      <c r="B124" t="s">
        <v>560</v>
      </c>
      <c r="C124">
        <f>697800-50000</f>
        <v>647800</v>
      </c>
    </row>
    <row r="125" spans="1:3" x14ac:dyDescent="0.3">
      <c r="A125" t="s">
        <v>580</v>
      </c>
      <c r="B125" t="s">
        <v>559</v>
      </c>
      <c r="C125">
        <v>977800</v>
      </c>
    </row>
    <row r="126" spans="1:3" x14ac:dyDescent="0.3">
      <c r="A126" t="s">
        <v>580</v>
      </c>
      <c r="B126" t="s">
        <v>560</v>
      </c>
      <c r="C126">
        <f>977800-50000</f>
        <v>927800</v>
      </c>
    </row>
    <row r="127" spans="1:3" x14ac:dyDescent="0.3">
      <c r="A127" t="s">
        <v>581</v>
      </c>
      <c r="B127" t="s">
        <v>559</v>
      </c>
      <c r="C127">
        <v>1333400</v>
      </c>
    </row>
    <row r="128" spans="1:3" x14ac:dyDescent="0.3">
      <c r="A128" t="s">
        <v>581</v>
      </c>
      <c r="B128" t="s">
        <v>560</v>
      </c>
      <c r="C128">
        <f>1333400-70000</f>
        <v>1263400</v>
      </c>
    </row>
    <row r="129" spans="1:3" x14ac:dyDescent="0.3">
      <c r="A129" t="s">
        <v>582</v>
      </c>
      <c r="B129" t="s">
        <v>559</v>
      </c>
      <c r="C129">
        <v>1403400</v>
      </c>
    </row>
    <row r="130" spans="1:3" x14ac:dyDescent="0.3">
      <c r="A130" t="s">
        <v>582</v>
      </c>
      <c r="B130" t="s">
        <v>560</v>
      </c>
      <c r="C130">
        <f>1403400-70000</f>
        <v>1333400</v>
      </c>
    </row>
    <row r="131" spans="1:3" x14ac:dyDescent="0.3">
      <c r="A131" t="s">
        <v>583</v>
      </c>
      <c r="B131" t="s">
        <v>559</v>
      </c>
      <c r="C131">
        <v>1604500</v>
      </c>
    </row>
    <row r="132" spans="1:3" x14ac:dyDescent="0.3">
      <c r="A132" t="s">
        <v>583</v>
      </c>
      <c r="B132" t="s">
        <v>560</v>
      </c>
      <c r="C132">
        <f>1604500-90000</f>
        <v>1514500</v>
      </c>
    </row>
    <row r="133" spans="1:3" x14ac:dyDescent="0.3">
      <c r="A133" t="s">
        <v>50</v>
      </c>
      <c r="C133">
        <v>596200</v>
      </c>
    </row>
    <row r="134" spans="1:3" x14ac:dyDescent="0.3">
      <c r="A134" t="s">
        <v>51</v>
      </c>
      <c r="C134">
        <v>599500</v>
      </c>
    </row>
    <row r="135" spans="1:3" x14ac:dyDescent="0.3">
      <c r="A135" t="s">
        <v>52</v>
      </c>
      <c r="C135">
        <v>610500</v>
      </c>
    </row>
    <row r="136" spans="1:3" x14ac:dyDescent="0.3">
      <c r="A136" t="s">
        <v>53</v>
      </c>
      <c r="C136">
        <v>629200</v>
      </c>
    </row>
    <row r="137" spans="1:3" x14ac:dyDescent="0.3">
      <c r="A137" t="s">
        <v>54</v>
      </c>
      <c r="C137">
        <v>766700</v>
      </c>
    </row>
    <row r="138" spans="1:3" x14ac:dyDescent="0.3">
      <c r="A138" t="s">
        <v>55</v>
      </c>
      <c r="C138">
        <v>881100</v>
      </c>
    </row>
    <row r="139" spans="1:3" x14ac:dyDescent="0.3">
      <c r="A139" t="s">
        <v>56</v>
      </c>
      <c r="C139">
        <v>899800</v>
      </c>
    </row>
    <row r="140" spans="1:3" x14ac:dyDescent="0.3">
      <c r="A140" t="s">
        <v>57</v>
      </c>
      <c r="C140">
        <v>820600</v>
      </c>
    </row>
    <row r="141" spans="1:3" x14ac:dyDescent="0.3">
      <c r="A141" t="s">
        <v>58</v>
      </c>
      <c r="C141">
        <v>891000</v>
      </c>
    </row>
    <row r="142" spans="1:3" x14ac:dyDescent="0.3">
      <c r="A142" t="s">
        <v>59</v>
      </c>
      <c r="C142">
        <v>915200</v>
      </c>
    </row>
    <row r="143" spans="1:3" x14ac:dyDescent="0.3">
      <c r="A143" t="s">
        <v>60</v>
      </c>
      <c r="C143">
        <v>682000</v>
      </c>
    </row>
    <row r="144" spans="1:3" x14ac:dyDescent="0.3">
      <c r="A144" t="s">
        <v>61</v>
      </c>
      <c r="C144">
        <v>748000</v>
      </c>
    </row>
    <row r="145" spans="1:3" x14ac:dyDescent="0.3">
      <c r="A145" t="s">
        <v>62</v>
      </c>
      <c r="C145">
        <v>817300</v>
      </c>
    </row>
    <row r="146" spans="1:3" x14ac:dyDescent="0.3">
      <c r="A146" t="s">
        <v>63</v>
      </c>
      <c r="C146">
        <v>864600</v>
      </c>
    </row>
    <row r="147" spans="1:3" x14ac:dyDescent="0.3">
      <c r="A147" t="s">
        <v>64</v>
      </c>
      <c r="C147">
        <v>998800</v>
      </c>
    </row>
    <row r="148" spans="1:3" x14ac:dyDescent="0.3">
      <c r="A148" t="s">
        <v>65</v>
      </c>
      <c r="C148">
        <v>1009800</v>
      </c>
    </row>
    <row r="149" spans="1:3" x14ac:dyDescent="0.3">
      <c r="A149" t="s">
        <v>66</v>
      </c>
      <c r="C149">
        <v>1021900</v>
      </c>
    </row>
    <row r="150" spans="1:3" x14ac:dyDescent="0.3">
      <c r="A150" t="s">
        <v>67</v>
      </c>
      <c r="C150">
        <v>1069200</v>
      </c>
    </row>
    <row r="151" spans="1:3" x14ac:dyDescent="0.3">
      <c r="A151" t="s">
        <v>68</v>
      </c>
      <c r="C151">
        <v>1081300</v>
      </c>
    </row>
    <row r="152" spans="1:3" x14ac:dyDescent="0.3">
      <c r="A152" t="s">
        <v>69</v>
      </c>
      <c r="C152">
        <v>1128600</v>
      </c>
    </row>
    <row r="153" spans="1:3" x14ac:dyDescent="0.3">
      <c r="A153" t="s">
        <v>70</v>
      </c>
      <c r="C153">
        <v>1140700</v>
      </c>
    </row>
    <row r="154" spans="1:3" x14ac:dyDescent="0.3">
      <c r="A154" t="s">
        <v>71</v>
      </c>
      <c r="C154">
        <v>1188000</v>
      </c>
    </row>
    <row r="155" spans="1:3" x14ac:dyDescent="0.3">
      <c r="A155" t="s">
        <v>72</v>
      </c>
      <c r="C155">
        <v>1212200</v>
      </c>
    </row>
    <row r="156" spans="1:3" x14ac:dyDescent="0.3">
      <c r="A156" t="s">
        <v>73</v>
      </c>
      <c r="C156">
        <v>891000</v>
      </c>
    </row>
    <row r="157" spans="1:3" x14ac:dyDescent="0.3">
      <c r="A157" t="s">
        <v>74</v>
      </c>
      <c r="C157">
        <v>903100</v>
      </c>
    </row>
    <row r="158" spans="1:3" x14ac:dyDescent="0.3">
      <c r="A158" t="s">
        <v>75</v>
      </c>
      <c r="C158">
        <v>915200</v>
      </c>
    </row>
    <row r="159" spans="1:3" x14ac:dyDescent="0.3">
      <c r="A159" t="s">
        <v>76</v>
      </c>
      <c r="C159">
        <v>962500</v>
      </c>
    </row>
    <row r="160" spans="1:3" x14ac:dyDescent="0.3">
      <c r="A160" t="s">
        <v>77</v>
      </c>
      <c r="C160">
        <v>974600</v>
      </c>
    </row>
    <row r="161" spans="1:3" x14ac:dyDescent="0.3">
      <c r="A161" t="s">
        <v>78</v>
      </c>
      <c r="C161">
        <v>1021900</v>
      </c>
    </row>
    <row r="162" spans="1:3" x14ac:dyDescent="0.3">
      <c r="A162" t="s">
        <v>79</v>
      </c>
      <c r="C162">
        <v>1034000</v>
      </c>
    </row>
    <row r="163" spans="1:3" x14ac:dyDescent="0.3">
      <c r="A163" t="s">
        <v>80</v>
      </c>
      <c r="C163">
        <v>1081300</v>
      </c>
    </row>
    <row r="164" spans="1:3" x14ac:dyDescent="0.3">
      <c r="A164" t="s">
        <v>81</v>
      </c>
      <c r="C164">
        <v>1105500</v>
      </c>
    </row>
    <row r="165" spans="1:3" x14ac:dyDescent="0.3">
      <c r="A165" t="s">
        <v>82</v>
      </c>
      <c r="C165">
        <v>855800</v>
      </c>
    </row>
    <row r="166" spans="1:3" x14ac:dyDescent="0.3">
      <c r="A166" t="s">
        <v>83</v>
      </c>
      <c r="C166">
        <v>867900</v>
      </c>
    </row>
    <row r="167" spans="1:3" x14ac:dyDescent="0.3">
      <c r="A167" t="s">
        <v>84</v>
      </c>
      <c r="C167">
        <v>880000</v>
      </c>
    </row>
    <row r="168" spans="1:3" x14ac:dyDescent="0.3">
      <c r="A168" t="s">
        <v>85</v>
      </c>
      <c r="C168">
        <v>915200</v>
      </c>
    </row>
    <row r="169" spans="1:3" x14ac:dyDescent="0.3">
      <c r="A169" t="s">
        <v>86</v>
      </c>
      <c r="C169">
        <v>927300</v>
      </c>
    </row>
    <row r="170" spans="1:3" x14ac:dyDescent="0.3">
      <c r="A170" t="s">
        <v>87</v>
      </c>
      <c r="C170">
        <v>962500</v>
      </c>
    </row>
    <row r="171" spans="1:3" x14ac:dyDescent="0.3">
      <c r="A171" t="s">
        <v>88</v>
      </c>
      <c r="C171">
        <v>986700</v>
      </c>
    </row>
    <row r="172" spans="1:3" x14ac:dyDescent="0.3">
      <c r="A172" t="s">
        <v>89</v>
      </c>
      <c r="C172">
        <v>1021900</v>
      </c>
    </row>
    <row r="173" spans="1:3" x14ac:dyDescent="0.3">
      <c r="A173" t="s">
        <v>90</v>
      </c>
      <c r="C173">
        <v>1058200</v>
      </c>
    </row>
    <row r="174" spans="1:3" x14ac:dyDescent="0.3">
      <c r="A174" t="s">
        <v>91</v>
      </c>
      <c r="C174">
        <v>986700</v>
      </c>
    </row>
    <row r="175" spans="1:3" x14ac:dyDescent="0.3">
      <c r="A175" t="s">
        <v>92</v>
      </c>
      <c r="B175" t="s">
        <v>585</v>
      </c>
      <c r="C175">
        <v>734800</v>
      </c>
    </row>
    <row r="176" spans="1:3" x14ac:dyDescent="0.3">
      <c r="A176" t="s">
        <v>93</v>
      </c>
      <c r="B176" t="s">
        <v>585</v>
      </c>
      <c r="C176">
        <v>738100</v>
      </c>
    </row>
    <row r="177" spans="1:3" x14ac:dyDescent="0.3">
      <c r="A177" t="s">
        <v>94</v>
      </c>
      <c r="B177" t="s">
        <v>585</v>
      </c>
      <c r="C177">
        <v>749100</v>
      </c>
    </row>
    <row r="178" spans="1:3" x14ac:dyDescent="0.3">
      <c r="A178" t="s">
        <v>95</v>
      </c>
      <c r="B178" t="s">
        <v>585</v>
      </c>
      <c r="C178">
        <v>767800</v>
      </c>
    </row>
    <row r="179" spans="1:3" x14ac:dyDescent="0.3">
      <c r="A179" t="s">
        <v>96</v>
      </c>
      <c r="B179" t="s">
        <v>586</v>
      </c>
      <c r="C179">
        <v>940500</v>
      </c>
    </row>
    <row r="180" spans="1:3" x14ac:dyDescent="0.3">
      <c r="A180" t="s">
        <v>97</v>
      </c>
      <c r="B180" t="s">
        <v>586</v>
      </c>
      <c r="C180">
        <v>1054900</v>
      </c>
    </row>
    <row r="181" spans="1:3" x14ac:dyDescent="0.3">
      <c r="A181" t="s">
        <v>98</v>
      </c>
      <c r="B181" t="s">
        <v>586</v>
      </c>
      <c r="C181">
        <v>1073600</v>
      </c>
    </row>
    <row r="182" spans="1:3" x14ac:dyDescent="0.3">
      <c r="A182" t="s">
        <v>92</v>
      </c>
      <c r="B182" t="s">
        <v>587</v>
      </c>
      <c r="C182">
        <v>746900</v>
      </c>
    </row>
    <row r="183" spans="1:3" x14ac:dyDescent="0.3">
      <c r="A183" t="s">
        <v>93</v>
      </c>
      <c r="B183" t="s">
        <v>587</v>
      </c>
      <c r="C183">
        <v>750200</v>
      </c>
    </row>
    <row r="184" spans="1:3" x14ac:dyDescent="0.3">
      <c r="A184" t="s">
        <v>94</v>
      </c>
      <c r="B184" t="s">
        <v>587</v>
      </c>
      <c r="C184">
        <v>761200</v>
      </c>
    </row>
    <row r="185" spans="1:3" x14ac:dyDescent="0.3">
      <c r="A185" t="s">
        <v>95</v>
      </c>
      <c r="B185" t="s">
        <v>587</v>
      </c>
      <c r="C185">
        <v>779900</v>
      </c>
    </row>
    <row r="186" spans="1:3" x14ac:dyDescent="0.3">
      <c r="A186" t="s">
        <v>96</v>
      </c>
      <c r="B186" t="s">
        <v>588</v>
      </c>
      <c r="C186">
        <v>917400</v>
      </c>
    </row>
    <row r="187" spans="1:3" x14ac:dyDescent="0.3">
      <c r="A187" t="s">
        <v>97</v>
      </c>
      <c r="B187" t="s">
        <v>588</v>
      </c>
      <c r="C187">
        <v>1031800</v>
      </c>
    </row>
    <row r="188" spans="1:3" x14ac:dyDescent="0.3">
      <c r="A188" t="s">
        <v>98</v>
      </c>
      <c r="B188" t="s">
        <v>588</v>
      </c>
      <c r="C188">
        <v>1050500</v>
      </c>
    </row>
    <row r="189" spans="1:3" x14ac:dyDescent="0.3">
      <c r="A189" t="s">
        <v>99</v>
      </c>
      <c r="B189" t="s">
        <v>589</v>
      </c>
      <c r="C189">
        <v>820600</v>
      </c>
    </row>
    <row r="190" spans="1:3" x14ac:dyDescent="0.3">
      <c r="A190" t="s">
        <v>100</v>
      </c>
      <c r="B190" t="s">
        <v>589</v>
      </c>
      <c r="C190">
        <v>891000</v>
      </c>
    </row>
    <row r="191" spans="1:3" x14ac:dyDescent="0.3">
      <c r="A191" t="s">
        <v>101</v>
      </c>
      <c r="B191" t="s">
        <v>589</v>
      </c>
      <c r="C191">
        <v>915200</v>
      </c>
    </row>
    <row r="192" spans="1:3" x14ac:dyDescent="0.3">
      <c r="A192" t="s">
        <v>102</v>
      </c>
      <c r="B192" t="s">
        <v>590</v>
      </c>
      <c r="C192">
        <v>789800</v>
      </c>
    </row>
    <row r="193" spans="1:3" x14ac:dyDescent="0.3">
      <c r="A193" t="s">
        <v>103</v>
      </c>
      <c r="B193" t="s">
        <v>590</v>
      </c>
      <c r="C193">
        <v>855800</v>
      </c>
    </row>
    <row r="194" spans="1:3" x14ac:dyDescent="0.3">
      <c r="A194" t="s">
        <v>104</v>
      </c>
      <c r="B194" t="s">
        <v>590</v>
      </c>
      <c r="C194">
        <v>925100</v>
      </c>
    </row>
    <row r="195" spans="1:3" x14ac:dyDescent="0.3">
      <c r="A195" t="s">
        <v>105</v>
      </c>
      <c r="B195" t="s">
        <v>590</v>
      </c>
      <c r="C195">
        <v>972400</v>
      </c>
    </row>
    <row r="196" spans="1:3" x14ac:dyDescent="0.3">
      <c r="A196" t="s">
        <v>106</v>
      </c>
      <c r="B196" t="s">
        <v>591</v>
      </c>
      <c r="C196">
        <v>1189100</v>
      </c>
    </row>
    <row r="197" spans="1:3" x14ac:dyDescent="0.3">
      <c r="A197" t="s">
        <v>107</v>
      </c>
      <c r="B197" t="s">
        <v>591</v>
      </c>
      <c r="C197">
        <v>1200100</v>
      </c>
    </row>
    <row r="198" spans="1:3" x14ac:dyDescent="0.3">
      <c r="A198" t="s">
        <v>108</v>
      </c>
      <c r="B198" t="s">
        <v>591</v>
      </c>
      <c r="C198">
        <v>1212200</v>
      </c>
    </row>
    <row r="199" spans="1:3" x14ac:dyDescent="0.3">
      <c r="A199" t="s">
        <v>109</v>
      </c>
      <c r="B199" t="s">
        <v>591</v>
      </c>
      <c r="C199">
        <v>1259500</v>
      </c>
    </row>
    <row r="200" spans="1:3" x14ac:dyDescent="0.3">
      <c r="A200" t="s">
        <v>110</v>
      </c>
      <c r="B200" t="s">
        <v>591</v>
      </c>
      <c r="C200">
        <v>1271600</v>
      </c>
    </row>
    <row r="201" spans="1:3" x14ac:dyDescent="0.3">
      <c r="A201" t="s">
        <v>111</v>
      </c>
      <c r="B201" t="s">
        <v>591</v>
      </c>
      <c r="C201">
        <v>1318900</v>
      </c>
    </row>
    <row r="202" spans="1:3" x14ac:dyDescent="0.3">
      <c r="A202" t="s">
        <v>112</v>
      </c>
      <c r="B202" t="s">
        <v>591</v>
      </c>
      <c r="C202">
        <v>1331000</v>
      </c>
    </row>
    <row r="203" spans="1:3" x14ac:dyDescent="0.3">
      <c r="A203" t="s">
        <v>113</v>
      </c>
      <c r="B203" t="s">
        <v>591</v>
      </c>
      <c r="C203">
        <v>1378300</v>
      </c>
    </row>
    <row r="204" spans="1:3" x14ac:dyDescent="0.3">
      <c r="A204" t="s">
        <v>114</v>
      </c>
      <c r="B204" t="s">
        <v>591</v>
      </c>
      <c r="C204">
        <v>1402500</v>
      </c>
    </row>
    <row r="205" spans="1:3" x14ac:dyDescent="0.3">
      <c r="A205" t="s">
        <v>115</v>
      </c>
      <c r="B205" t="s">
        <v>591</v>
      </c>
      <c r="C205">
        <v>1081300</v>
      </c>
    </row>
    <row r="206" spans="1:3" x14ac:dyDescent="0.3">
      <c r="A206" t="s">
        <v>116</v>
      </c>
      <c r="B206" t="s">
        <v>591</v>
      </c>
      <c r="C206">
        <v>1093400</v>
      </c>
    </row>
    <row r="207" spans="1:3" x14ac:dyDescent="0.3">
      <c r="A207" t="s">
        <v>117</v>
      </c>
      <c r="B207" t="s">
        <v>591</v>
      </c>
      <c r="C207">
        <v>1105500</v>
      </c>
    </row>
    <row r="208" spans="1:3" x14ac:dyDescent="0.3">
      <c r="A208" t="s">
        <v>118</v>
      </c>
      <c r="B208" t="s">
        <v>591</v>
      </c>
      <c r="C208">
        <v>1152800</v>
      </c>
    </row>
    <row r="209" spans="1:3" x14ac:dyDescent="0.3">
      <c r="A209" t="s">
        <v>119</v>
      </c>
      <c r="B209" t="s">
        <v>591</v>
      </c>
      <c r="C209">
        <v>1164900</v>
      </c>
    </row>
    <row r="210" spans="1:3" x14ac:dyDescent="0.3">
      <c r="A210" t="s">
        <v>120</v>
      </c>
      <c r="B210" t="s">
        <v>591</v>
      </c>
      <c r="C210">
        <v>1212200</v>
      </c>
    </row>
    <row r="211" spans="1:3" x14ac:dyDescent="0.3">
      <c r="A211" t="s">
        <v>121</v>
      </c>
      <c r="B211" t="s">
        <v>591</v>
      </c>
      <c r="C211">
        <v>1224300</v>
      </c>
    </row>
    <row r="212" spans="1:3" x14ac:dyDescent="0.3">
      <c r="A212" t="s">
        <v>122</v>
      </c>
      <c r="B212" t="s">
        <v>591</v>
      </c>
      <c r="C212">
        <v>1271600</v>
      </c>
    </row>
    <row r="213" spans="1:3" x14ac:dyDescent="0.3">
      <c r="A213" t="s">
        <v>123</v>
      </c>
      <c r="B213" t="s">
        <v>591</v>
      </c>
      <c r="C213">
        <v>1295800</v>
      </c>
    </row>
    <row r="214" spans="1:3" x14ac:dyDescent="0.3">
      <c r="A214" t="s">
        <v>124</v>
      </c>
      <c r="B214" t="s">
        <v>592</v>
      </c>
      <c r="C214">
        <v>1023000</v>
      </c>
    </row>
    <row r="215" spans="1:3" x14ac:dyDescent="0.3">
      <c r="A215" t="s">
        <v>125</v>
      </c>
      <c r="B215" t="s">
        <v>592</v>
      </c>
      <c r="C215">
        <v>1035100</v>
      </c>
    </row>
    <row r="216" spans="1:3" x14ac:dyDescent="0.3">
      <c r="A216" t="s">
        <v>126</v>
      </c>
      <c r="B216" t="s">
        <v>592</v>
      </c>
      <c r="C216">
        <v>1047200</v>
      </c>
    </row>
    <row r="217" spans="1:3" x14ac:dyDescent="0.3">
      <c r="A217" t="s">
        <v>127</v>
      </c>
      <c r="B217" t="s">
        <v>592</v>
      </c>
      <c r="C217">
        <v>1082400</v>
      </c>
    </row>
    <row r="218" spans="1:3" x14ac:dyDescent="0.3">
      <c r="A218" t="s">
        <v>128</v>
      </c>
      <c r="B218" t="s">
        <v>592</v>
      </c>
      <c r="C218">
        <v>1094500</v>
      </c>
    </row>
    <row r="219" spans="1:3" x14ac:dyDescent="0.3">
      <c r="A219" t="s">
        <v>129</v>
      </c>
      <c r="B219" t="s">
        <v>592</v>
      </c>
      <c r="C219">
        <v>1129700</v>
      </c>
    </row>
    <row r="220" spans="1:3" x14ac:dyDescent="0.3">
      <c r="A220" t="s">
        <v>130</v>
      </c>
      <c r="B220" t="s">
        <v>592</v>
      </c>
      <c r="C220">
        <v>1153900</v>
      </c>
    </row>
    <row r="221" spans="1:3" x14ac:dyDescent="0.3">
      <c r="A221" t="s">
        <v>131</v>
      </c>
      <c r="B221" t="s">
        <v>592</v>
      </c>
      <c r="C221">
        <v>1189100</v>
      </c>
    </row>
    <row r="222" spans="1:3" x14ac:dyDescent="0.3">
      <c r="A222" t="s">
        <v>132</v>
      </c>
      <c r="B222" t="s">
        <v>592</v>
      </c>
      <c r="C222">
        <v>1225400</v>
      </c>
    </row>
    <row r="223" spans="1:3" x14ac:dyDescent="0.3">
      <c r="A223" t="s">
        <v>133</v>
      </c>
      <c r="C223">
        <v>1147300</v>
      </c>
    </row>
    <row r="224" spans="1:3" x14ac:dyDescent="0.3">
      <c r="A224" t="s">
        <v>134</v>
      </c>
      <c r="C224">
        <v>1159400</v>
      </c>
    </row>
    <row r="225" spans="1:3" x14ac:dyDescent="0.3">
      <c r="A225" t="s">
        <v>135</v>
      </c>
      <c r="C225">
        <v>1228700</v>
      </c>
    </row>
    <row r="226" spans="1:3" x14ac:dyDescent="0.3">
      <c r="A226" t="s">
        <v>136</v>
      </c>
      <c r="C226">
        <v>1316700</v>
      </c>
    </row>
    <row r="227" spans="1:3" x14ac:dyDescent="0.3">
      <c r="A227" t="s">
        <v>137</v>
      </c>
      <c r="C227">
        <v>1272700</v>
      </c>
    </row>
    <row r="228" spans="1:3" x14ac:dyDescent="0.3">
      <c r="A228" t="s">
        <v>138</v>
      </c>
      <c r="C228">
        <v>1284800</v>
      </c>
    </row>
    <row r="229" spans="1:3" x14ac:dyDescent="0.3">
      <c r="A229" t="s">
        <v>139</v>
      </c>
      <c r="C229">
        <v>1355200</v>
      </c>
    </row>
    <row r="230" spans="1:3" x14ac:dyDescent="0.3">
      <c r="A230" t="s">
        <v>140</v>
      </c>
      <c r="C230">
        <v>1443200</v>
      </c>
    </row>
    <row r="231" spans="1:3" x14ac:dyDescent="0.3">
      <c r="A231" t="s">
        <v>141</v>
      </c>
      <c r="C231">
        <v>1211100</v>
      </c>
    </row>
    <row r="232" spans="1:3" x14ac:dyDescent="0.3">
      <c r="A232" t="s">
        <v>142</v>
      </c>
      <c r="C232">
        <v>1223200</v>
      </c>
    </row>
    <row r="233" spans="1:3" x14ac:dyDescent="0.3">
      <c r="A233" t="s">
        <v>143</v>
      </c>
      <c r="C233">
        <v>1292500</v>
      </c>
    </row>
    <row r="234" spans="1:3" x14ac:dyDescent="0.3">
      <c r="A234" t="s">
        <v>144</v>
      </c>
      <c r="C234">
        <v>1380500</v>
      </c>
    </row>
    <row r="235" spans="1:3" x14ac:dyDescent="0.3">
      <c r="A235" t="s">
        <v>145</v>
      </c>
      <c r="C235">
        <v>770000</v>
      </c>
    </row>
    <row r="236" spans="1:3" x14ac:dyDescent="0.3">
      <c r="A236" t="s">
        <v>146</v>
      </c>
      <c r="C236">
        <v>793100</v>
      </c>
    </row>
    <row r="237" spans="1:3" x14ac:dyDescent="0.3">
      <c r="A237" t="s">
        <v>147</v>
      </c>
      <c r="C237">
        <v>840400</v>
      </c>
    </row>
    <row r="238" spans="1:3" x14ac:dyDescent="0.3">
      <c r="A238" t="s">
        <v>148</v>
      </c>
      <c r="C238">
        <v>874500</v>
      </c>
    </row>
    <row r="239" spans="1:3" x14ac:dyDescent="0.3">
      <c r="A239" t="s">
        <v>149</v>
      </c>
      <c r="C239">
        <v>944900</v>
      </c>
    </row>
    <row r="240" spans="1:3" x14ac:dyDescent="0.3">
      <c r="A240" t="s">
        <v>150</v>
      </c>
      <c r="C240">
        <v>980100</v>
      </c>
    </row>
    <row r="241" spans="1:3" x14ac:dyDescent="0.3">
      <c r="A241" t="s">
        <v>151</v>
      </c>
      <c r="C241">
        <v>1003200</v>
      </c>
    </row>
    <row r="242" spans="1:3" x14ac:dyDescent="0.3">
      <c r="A242" t="s">
        <v>152</v>
      </c>
      <c r="C242">
        <v>1073600</v>
      </c>
    </row>
    <row r="243" spans="1:3" x14ac:dyDescent="0.3">
      <c r="A243" t="s">
        <v>153</v>
      </c>
      <c r="C243">
        <v>1131900</v>
      </c>
    </row>
    <row r="244" spans="1:3" x14ac:dyDescent="0.3">
      <c r="A244" t="s">
        <v>154</v>
      </c>
      <c r="C244">
        <v>1190200</v>
      </c>
    </row>
    <row r="245" spans="1:3" x14ac:dyDescent="0.3">
      <c r="A245" t="s">
        <v>155</v>
      </c>
      <c r="C245">
        <v>1271600</v>
      </c>
    </row>
    <row r="246" spans="1:3" x14ac:dyDescent="0.3">
      <c r="A246" t="s">
        <v>156</v>
      </c>
      <c r="C246">
        <v>2414500</v>
      </c>
    </row>
    <row r="247" spans="1:3" x14ac:dyDescent="0.3">
      <c r="A247" t="s">
        <v>157</v>
      </c>
      <c r="C247">
        <v>2519000</v>
      </c>
    </row>
    <row r="248" spans="1:3" x14ac:dyDescent="0.3">
      <c r="A248" t="s">
        <v>158</v>
      </c>
      <c r="C248">
        <v>1329900</v>
      </c>
    </row>
    <row r="249" spans="1:3" x14ac:dyDescent="0.3">
      <c r="A249" t="s">
        <v>159</v>
      </c>
      <c r="C249">
        <v>2950200</v>
      </c>
    </row>
    <row r="250" spans="1:3" x14ac:dyDescent="0.3">
      <c r="A250" t="s">
        <v>160</v>
      </c>
      <c r="C250">
        <v>501600</v>
      </c>
    </row>
    <row r="251" spans="1:3" x14ac:dyDescent="0.3">
      <c r="A251" t="s">
        <v>161</v>
      </c>
      <c r="C251">
        <v>524700</v>
      </c>
    </row>
    <row r="252" spans="1:3" x14ac:dyDescent="0.3">
      <c r="A252" t="s">
        <v>162</v>
      </c>
      <c r="C252">
        <v>536800</v>
      </c>
    </row>
    <row r="253" spans="1:3" x14ac:dyDescent="0.3">
      <c r="A253" t="s">
        <v>163</v>
      </c>
      <c r="C253">
        <v>665500</v>
      </c>
    </row>
    <row r="254" spans="1:3" x14ac:dyDescent="0.3">
      <c r="A254" t="s">
        <v>164</v>
      </c>
      <c r="C254">
        <v>1131900</v>
      </c>
    </row>
    <row r="255" spans="1:3" x14ac:dyDescent="0.3">
      <c r="A255" t="s">
        <v>165</v>
      </c>
      <c r="C255">
        <v>1306800</v>
      </c>
    </row>
    <row r="256" spans="1:3" x14ac:dyDescent="0.3">
      <c r="A256" t="s">
        <v>166</v>
      </c>
      <c r="C256">
        <v>11748000</v>
      </c>
    </row>
    <row r="257" spans="1:3" x14ac:dyDescent="0.3">
      <c r="A257" t="s">
        <v>167</v>
      </c>
      <c r="C257">
        <v>12815000</v>
      </c>
    </row>
    <row r="258" spans="1:3" x14ac:dyDescent="0.3">
      <c r="A258" t="s">
        <v>168</v>
      </c>
      <c r="C258">
        <v>7436000</v>
      </c>
    </row>
    <row r="259" spans="1:3" x14ac:dyDescent="0.3">
      <c r="A259" t="s">
        <v>169</v>
      </c>
      <c r="C259">
        <v>2508000</v>
      </c>
    </row>
    <row r="260" spans="1:3" x14ac:dyDescent="0.3">
      <c r="A260" t="s">
        <v>170</v>
      </c>
      <c r="C260">
        <v>2596000</v>
      </c>
    </row>
    <row r="261" spans="1:3" x14ac:dyDescent="0.3">
      <c r="A261" t="s">
        <v>171</v>
      </c>
      <c r="C261">
        <v>3080000</v>
      </c>
    </row>
    <row r="262" spans="1:3" x14ac:dyDescent="0.3">
      <c r="A262" t="s">
        <v>172</v>
      </c>
      <c r="C262">
        <v>4081000</v>
      </c>
    </row>
    <row r="263" spans="1:3" x14ac:dyDescent="0.3">
      <c r="A263" t="s">
        <v>173</v>
      </c>
      <c r="C263">
        <v>4994000</v>
      </c>
    </row>
    <row r="264" spans="1:3" x14ac:dyDescent="0.3">
      <c r="A264" t="s">
        <v>174</v>
      </c>
      <c r="C264">
        <v>5200000</v>
      </c>
    </row>
    <row r="265" spans="1:3" x14ac:dyDescent="0.3">
      <c r="A265" t="s">
        <v>175</v>
      </c>
      <c r="C265">
        <v>2750000</v>
      </c>
    </row>
    <row r="266" spans="1:3" x14ac:dyDescent="0.3">
      <c r="A266" t="s">
        <v>176</v>
      </c>
      <c r="C266">
        <v>3124000</v>
      </c>
    </row>
    <row r="267" spans="1:3" x14ac:dyDescent="0.3">
      <c r="A267" t="s">
        <v>177</v>
      </c>
      <c r="C267">
        <v>3113000</v>
      </c>
    </row>
    <row r="268" spans="1:3" x14ac:dyDescent="0.3">
      <c r="A268" t="s">
        <v>178</v>
      </c>
      <c r="C268">
        <v>3399000</v>
      </c>
    </row>
    <row r="269" spans="1:3" x14ac:dyDescent="0.3">
      <c r="A269" t="s">
        <v>179</v>
      </c>
      <c r="C269">
        <v>3500970</v>
      </c>
    </row>
    <row r="270" spans="1:3" x14ac:dyDescent="0.3">
      <c r="A270" t="s">
        <v>180</v>
      </c>
      <c r="C270">
        <v>3267000</v>
      </c>
    </row>
    <row r="271" spans="1:3" x14ac:dyDescent="0.3">
      <c r="A271" t="s">
        <v>181</v>
      </c>
      <c r="C271">
        <v>3597000</v>
      </c>
    </row>
    <row r="272" spans="1:3" x14ac:dyDescent="0.3">
      <c r="A272" t="s">
        <v>182</v>
      </c>
      <c r="C272">
        <v>5665000</v>
      </c>
    </row>
    <row r="273" spans="1:3" x14ac:dyDescent="0.3">
      <c r="A273" t="s">
        <v>183</v>
      </c>
      <c r="C273">
        <v>6006000</v>
      </c>
    </row>
    <row r="274" spans="1:3" x14ac:dyDescent="0.3">
      <c r="A274" t="s">
        <v>184</v>
      </c>
      <c r="C274">
        <v>6919000</v>
      </c>
    </row>
    <row r="275" spans="1:3" x14ac:dyDescent="0.3">
      <c r="A275" t="s">
        <v>185</v>
      </c>
      <c r="C275">
        <v>9306000</v>
      </c>
    </row>
    <row r="276" spans="1:3" x14ac:dyDescent="0.3">
      <c r="A276" t="s">
        <v>186</v>
      </c>
      <c r="C276">
        <v>10076000</v>
      </c>
    </row>
    <row r="277" spans="1:3" x14ac:dyDescent="0.3">
      <c r="A277" t="s">
        <v>187</v>
      </c>
      <c r="C277">
        <v>11671000</v>
      </c>
    </row>
    <row r="278" spans="1:3" x14ac:dyDescent="0.3">
      <c r="A278" t="s">
        <v>188</v>
      </c>
      <c r="C278">
        <v>13827000</v>
      </c>
    </row>
    <row r="279" spans="1:3" x14ac:dyDescent="0.3">
      <c r="A279" t="s">
        <v>189</v>
      </c>
      <c r="C279">
        <v>16148000</v>
      </c>
    </row>
    <row r="280" spans="1:3" x14ac:dyDescent="0.3">
      <c r="A280" t="s">
        <v>190</v>
      </c>
      <c r="C280">
        <v>16511000</v>
      </c>
    </row>
    <row r="281" spans="1:3" x14ac:dyDescent="0.3">
      <c r="A281" t="s">
        <v>191</v>
      </c>
      <c r="C281">
        <v>16797000</v>
      </c>
    </row>
    <row r="282" spans="1:3" x14ac:dyDescent="0.3">
      <c r="A282" t="s">
        <v>192</v>
      </c>
      <c r="C282">
        <v>20647000</v>
      </c>
    </row>
    <row r="283" spans="1:3" x14ac:dyDescent="0.3">
      <c r="A283" t="s">
        <v>193</v>
      </c>
      <c r="C283">
        <v>22506000</v>
      </c>
    </row>
    <row r="284" spans="1:3" x14ac:dyDescent="0.3">
      <c r="A284" t="s">
        <v>194</v>
      </c>
      <c r="C284">
        <v>25498000</v>
      </c>
    </row>
    <row r="285" spans="1:3" x14ac:dyDescent="0.3">
      <c r="A285" t="s">
        <v>195</v>
      </c>
      <c r="C285">
        <v>27819000</v>
      </c>
    </row>
    <row r="286" spans="1:3" x14ac:dyDescent="0.3">
      <c r="A286" t="s">
        <v>196</v>
      </c>
      <c r="C286">
        <v>28182000</v>
      </c>
    </row>
    <row r="287" spans="1:3" x14ac:dyDescent="0.3">
      <c r="A287" t="s">
        <v>197</v>
      </c>
      <c r="C287">
        <v>28468000</v>
      </c>
    </row>
    <row r="288" spans="1:3" x14ac:dyDescent="0.3">
      <c r="A288" t="s">
        <v>198</v>
      </c>
      <c r="C288">
        <v>30624000</v>
      </c>
    </row>
    <row r="289" spans="1:3" x14ac:dyDescent="0.3">
      <c r="A289" t="s">
        <v>199</v>
      </c>
      <c r="C289">
        <v>32945000</v>
      </c>
    </row>
    <row r="290" spans="1:3" x14ac:dyDescent="0.3">
      <c r="A290" t="s">
        <v>200</v>
      </c>
      <c r="C290">
        <v>33308000</v>
      </c>
    </row>
    <row r="291" spans="1:3" x14ac:dyDescent="0.3">
      <c r="A291" t="s">
        <v>201</v>
      </c>
      <c r="C291">
        <v>33594000</v>
      </c>
    </row>
    <row r="292" spans="1:3" x14ac:dyDescent="0.3">
      <c r="A292" t="s">
        <v>202</v>
      </c>
      <c r="C292">
        <v>37444000</v>
      </c>
    </row>
    <row r="293" spans="1:3" x14ac:dyDescent="0.3">
      <c r="A293" t="s">
        <v>203</v>
      </c>
      <c r="C293">
        <v>39303000</v>
      </c>
    </row>
    <row r="294" spans="1:3" x14ac:dyDescent="0.3">
      <c r="A294" t="s">
        <v>204</v>
      </c>
      <c r="C294">
        <v>43153000</v>
      </c>
    </row>
    <row r="295" spans="1:3" x14ac:dyDescent="0.3">
      <c r="A295" t="s">
        <v>205</v>
      </c>
      <c r="C295">
        <v>45012000</v>
      </c>
    </row>
    <row r="296" spans="1:3" x14ac:dyDescent="0.3">
      <c r="A296" t="s">
        <v>206</v>
      </c>
      <c r="C296">
        <v>9042000</v>
      </c>
    </row>
    <row r="297" spans="1:3" x14ac:dyDescent="0.3">
      <c r="A297" t="s">
        <v>207</v>
      </c>
      <c r="C297">
        <v>9790000</v>
      </c>
    </row>
    <row r="298" spans="1:3" x14ac:dyDescent="0.3">
      <c r="A298" t="s">
        <v>208</v>
      </c>
      <c r="C298">
        <v>11341000</v>
      </c>
    </row>
    <row r="299" spans="1:3" x14ac:dyDescent="0.3">
      <c r="A299" t="s">
        <v>209</v>
      </c>
      <c r="C299">
        <v>13442000</v>
      </c>
    </row>
    <row r="300" spans="1:3" x14ac:dyDescent="0.3">
      <c r="A300" t="s">
        <v>210</v>
      </c>
      <c r="C300">
        <v>15686000</v>
      </c>
    </row>
    <row r="301" spans="1:3" x14ac:dyDescent="0.3">
      <c r="A301" t="s">
        <v>211</v>
      </c>
      <c r="C301">
        <v>16049000</v>
      </c>
    </row>
    <row r="302" spans="1:3" x14ac:dyDescent="0.3">
      <c r="A302" t="s">
        <v>212</v>
      </c>
      <c r="C302">
        <v>16313000</v>
      </c>
    </row>
    <row r="303" spans="1:3" x14ac:dyDescent="0.3">
      <c r="A303" t="s">
        <v>213</v>
      </c>
      <c r="C303">
        <v>21131000</v>
      </c>
    </row>
    <row r="304" spans="1:3" x14ac:dyDescent="0.3">
      <c r="A304" t="s">
        <v>214</v>
      </c>
      <c r="C304">
        <v>22682000</v>
      </c>
    </row>
    <row r="305" spans="1:3" x14ac:dyDescent="0.3">
      <c r="A305" t="s">
        <v>215</v>
      </c>
      <c r="C305">
        <v>24783000</v>
      </c>
    </row>
    <row r="306" spans="1:3" x14ac:dyDescent="0.3">
      <c r="A306" t="s">
        <v>216</v>
      </c>
      <c r="C306">
        <v>27027000</v>
      </c>
    </row>
    <row r="307" spans="1:3" x14ac:dyDescent="0.3">
      <c r="A307" t="s">
        <v>217</v>
      </c>
      <c r="C307">
        <v>27390000</v>
      </c>
    </row>
    <row r="308" spans="1:3" x14ac:dyDescent="0.3">
      <c r="A308" t="s">
        <v>218</v>
      </c>
      <c r="C308">
        <v>27654000</v>
      </c>
    </row>
    <row r="309" spans="1:3" x14ac:dyDescent="0.3">
      <c r="A309" t="s">
        <v>219</v>
      </c>
      <c r="C309">
        <v>29755000</v>
      </c>
    </row>
    <row r="310" spans="1:3" x14ac:dyDescent="0.3">
      <c r="A310" t="s">
        <v>220</v>
      </c>
      <c r="C310">
        <v>31999000</v>
      </c>
    </row>
    <row r="311" spans="1:3" x14ac:dyDescent="0.3">
      <c r="A311" t="s">
        <v>221</v>
      </c>
      <c r="C311">
        <v>32362000</v>
      </c>
    </row>
    <row r="312" spans="1:3" x14ac:dyDescent="0.3">
      <c r="A312" t="s">
        <v>222</v>
      </c>
      <c r="C312">
        <v>32626000</v>
      </c>
    </row>
    <row r="313" spans="1:3" x14ac:dyDescent="0.3">
      <c r="A313" t="s">
        <v>223</v>
      </c>
      <c r="C313">
        <v>38731000</v>
      </c>
    </row>
    <row r="314" spans="1:3" x14ac:dyDescent="0.3">
      <c r="A314" t="s">
        <v>224</v>
      </c>
      <c r="C314">
        <v>38995000</v>
      </c>
    </row>
    <row r="315" spans="1:3" x14ac:dyDescent="0.3">
      <c r="A315" t="s">
        <v>225</v>
      </c>
      <c r="C315">
        <v>41096000</v>
      </c>
    </row>
    <row r="316" spans="1:3" x14ac:dyDescent="0.3">
      <c r="A316" t="s">
        <v>226</v>
      </c>
      <c r="C316">
        <v>43340000</v>
      </c>
    </row>
    <row r="317" spans="1:3" x14ac:dyDescent="0.3">
      <c r="A317" t="s">
        <v>227</v>
      </c>
      <c r="C317">
        <v>9229000</v>
      </c>
    </row>
    <row r="318" spans="1:3" x14ac:dyDescent="0.3">
      <c r="A318" t="s">
        <v>228</v>
      </c>
      <c r="C318">
        <v>9988000</v>
      </c>
    </row>
    <row r="319" spans="1:3" x14ac:dyDescent="0.3">
      <c r="A319" t="s">
        <v>229</v>
      </c>
      <c r="C319">
        <v>11561000</v>
      </c>
    </row>
    <row r="320" spans="1:3" x14ac:dyDescent="0.3">
      <c r="A320" t="s">
        <v>230</v>
      </c>
      <c r="C320">
        <v>13706000</v>
      </c>
    </row>
    <row r="321" spans="1:3" x14ac:dyDescent="0.3">
      <c r="A321" t="s">
        <v>231</v>
      </c>
      <c r="C321">
        <v>16005000</v>
      </c>
    </row>
    <row r="322" spans="1:3" x14ac:dyDescent="0.3">
      <c r="A322" t="s">
        <v>232</v>
      </c>
      <c r="C322">
        <v>16379000</v>
      </c>
    </row>
    <row r="323" spans="1:3" x14ac:dyDescent="0.3">
      <c r="A323" t="s">
        <v>233</v>
      </c>
      <c r="C323">
        <v>16643000</v>
      </c>
    </row>
    <row r="324" spans="1:3" x14ac:dyDescent="0.3">
      <c r="A324" t="s">
        <v>234</v>
      </c>
      <c r="C324">
        <v>21549000</v>
      </c>
    </row>
    <row r="325" spans="1:3" x14ac:dyDescent="0.3">
      <c r="A325" t="s">
        <v>235</v>
      </c>
      <c r="C325">
        <v>23122000</v>
      </c>
    </row>
    <row r="326" spans="1:3" x14ac:dyDescent="0.3">
      <c r="A326" t="s">
        <v>236</v>
      </c>
      <c r="C326">
        <v>25267000</v>
      </c>
    </row>
    <row r="327" spans="1:3" x14ac:dyDescent="0.3">
      <c r="A327" t="s">
        <v>237</v>
      </c>
      <c r="C327">
        <v>27566000</v>
      </c>
    </row>
    <row r="328" spans="1:3" x14ac:dyDescent="0.3">
      <c r="A328" t="s">
        <v>238</v>
      </c>
      <c r="C328">
        <v>27940000</v>
      </c>
    </row>
    <row r="329" spans="1:3" x14ac:dyDescent="0.3">
      <c r="A329" t="s">
        <v>239</v>
      </c>
      <c r="C329">
        <v>28204000</v>
      </c>
    </row>
    <row r="330" spans="1:3" x14ac:dyDescent="0.3">
      <c r="A330" t="s">
        <v>240</v>
      </c>
      <c r="C330">
        <v>30349000</v>
      </c>
    </row>
    <row r="331" spans="1:3" x14ac:dyDescent="0.3">
      <c r="A331" t="s">
        <v>241</v>
      </c>
      <c r="C331">
        <v>32648000</v>
      </c>
    </row>
    <row r="332" spans="1:3" x14ac:dyDescent="0.3">
      <c r="A332" t="s">
        <v>242</v>
      </c>
      <c r="C332">
        <v>33022000</v>
      </c>
    </row>
    <row r="333" spans="1:3" x14ac:dyDescent="0.3">
      <c r="A333" t="s">
        <v>243</v>
      </c>
      <c r="C333">
        <v>33286000</v>
      </c>
    </row>
    <row r="334" spans="1:3" x14ac:dyDescent="0.3">
      <c r="A334" t="s">
        <v>244</v>
      </c>
      <c r="C334">
        <v>39501000</v>
      </c>
    </row>
    <row r="335" spans="1:3" x14ac:dyDescent="0.3">
      <c r="A335" t="s">
        <v>245</v>
      </c>
      <c r="C335">
        <v>39765000</v>
      </c>
    </row>
    <row r="336" spans="1:3" x14ac:dyDescent="0.3">
      <c r="A336" t="s">
        <v>246</v>
      </c>
      <c r="C336">
        <v>41910000</v>
      </c>
    </row>
    <row r="337" spans="1:3" x14ac:dyDescent="0.3">
      <c r="A337" t="s">
        <v>247</v>
      </c>
      <c r="C337">
        <v>44209000</v>
      </c>
    </row>
    <row r="338" spans="1:3" x14ac:dyDescent="0.3">
      <c r="A338" t="s">
        <v>248</v>
      </c>
      <c r="C338">
        <v>10362000</v>
      </c>
    </row>
    <row r="339" spans="1:3" x14ac:dyDescent="0.3">
      <c r="A339" t="s">
        <v>249</v>
      </c>
      <c r="C339">
        <v>11011000</v>
      </c>
    </row>
    <row r="340" spans="1:3" x14ac:dyDescent="0.3">
      <c r="A340" t="s">
        <v>250</v>
      </c>
      <c r="C340">
        <v>12826000</v>
      </c>
    </row>
    <row r="341" spans="1:3" x14ac:dyDescent="0.3">
      <c r="A341" t="s">
        <v>251</v>
      </c>
      <c r="C341">
        <v>16522000</v>
      </c>
    </row>
    <row r="342" spans="1:3" x14ac:dyDescent="0.3">
      <c r="A342" t="s">
        <v>252</v>
      </c>
      <c r="C342">
        <v>17369000</v>
      </c>
    </row>
    <row r="343" spans="1:3" x14ac:dyDescent="0.3">
      <c r="A343" t="s">
        <v>253</v>
      </c>
      <c r="C343">
        <v>18403000</v>
      </c>
    </row>
    <row r="344" spans="1:3" x14ac:dyDescent="0.3">
      <c r="A344" t="s">
        <v>254</v>
      </c>
      <c r="C344">
        <v>20207000</v>
      </c>
    </row>
    <row r="345" spans="1:3" x14ac:dyDescent="0.3">
      <c r="A345" t="s">
        <v>255</v>
      </c>
      <c r="C345">
        <v>23837000</v>
      </c>
    </row>
    <row r="346" spans="1:3" x14ac:dyDescent="0.3">
      <c r="A346" t="s">
        <v>256</v>
      </c>
      <c r="C346">
        <v>25652000</v>
      </c>
    </row>
    <row r="347" spans="1:3" x14ac:dyDescent="0.3">
      <c r="A347" t="s">
        <v>257</v>
      </c>
      <c r="C347">
        <v>28380000</v>
      </c>
    </row>
    <row r="348" spans="1:3" x14ac:dyDescent="0.3">
      <c r="A348" t="s">
        <v>258</v>
      </c>
      <c r="C348">
        <v>30195000</v>
      </c>
    </row>
    <row r="349" spans="1:3" x14ac:dyDescent="0.3">
      <c r="A349" t="s">
        <v>259</v>
      </c>
      <c r="C349">
        <v>31218000</v>
      </c>
    </row>
    <row r="350" spans="1:3" x14ac:dyDescent="0.3">
      <c r="A350" t="s">
        <v>260</v>
      </c>
      <c r="C350">
        <v>33033000</v>
      </c>
    </row>
    <row r="351" spans="1:3" x14ac:dyDescent="0.3">
      <c r="A351" t="s">
        <v>261</v>
      </c>
      <c r="C351">
        <v>36729000</v>
      </c>
    </row>
    <row r="352" spans="1:3" x14ac:dyDescent="0.3">
      <c r="A352" t="s">
        <v>262</v>
      </c>
      <c r="C352">
        <v>37576000</v>
      </c>
    </row>
    <row r="353" spans="1:3" x14ac:dyDescent="0.3">
      <c r="A353" t="s">
        <v>263</v>
      </c>
      <c r="C353">
        <v>38610000</v>
      </c>
    </row>
    <row r="354" spans="1:3" x14ac:dyDescent="0.3">
      <c r="A354" t="s">
        <v>264</v>
      </c>
      <c r="C354">
        <v>40414000</v>
      </c>
    </row>
    <row r="355" spans="1:3" x14ac:dyDescent="0.3">
      <c r="A355" t="s">
        <v>265</v>
      </c>
      <c r="C355">
        <v>44044000</v>
      </c>
    </row>
    <row r="356" spans="1:3" x14ac:dyDescent="0.3">
      <c r="A356" t="s">
        <v>266</v>
      </c>
      <c r="C356">
        <v>45859000</v>
      </c>
    </row>
    <row r="357" spans="1:3" x14ac:dyDescent="0.3">
      <c r="A357" t="s">
        <v>267</v>
      </c>
      <c r="C357">
        <v>48587000</v>
      </c>
    </row>
    <row r="358" spans="1:3" x14ac:dyDescent="0.3">
      <c r="A358" t="s">
        <v>268</v>
      </c>
      <c r="C358">
        <v>8415000</v>
      </c>
    </row>
    <row r="359" spans="1:3" x14ac:dyDescent="0.3">
      <c r="A359" t="s">
        <v>269</v>
      </c>
      <c r="C359">
        <v>8866000</v>
      </c>
    </row>
    <row r="360" spans="1:3" x14ac:dyDescent="0.3">
      <c r="A360" t="s">
        <v>270</v>
      </c>
      <c r="C360">
        <v>9119000</v>
      </c>
    </row>
    <row r="361" spans="1:3" x14ac:dyDescent="0.3">
      <c r="A361" t="s">
        <v>271</v>
      </c>
      <c r="C361">
        <v>9570000</v>
      </c>
    </row>
    <row r="362" spans="1:3" x14ac:dyDescent="0.3">
      <c r="A362" t="s">
        <v>272</v>
      </c>
      <c r="C362">
        <v>10560000</v>
      </c>
    </row>
    <row r="363" spans="1:3" x14ac:dyDescent="0.3">
      <c r="A363" t="s">
        <v>273</v>
      </c>
      <c r="C363">
        <v>11572000</v>
      </c>
    </row>
    <row r="364" spans="1:3" x14ac:dyDescent="0.3">
      <c r="A364" t="s">
        <v>274</v>
      </c>
      <c r="C364">
        <v>12826000</v>
      </c>
    </row>
    <row r="365" spans="1:3" x14ac:dyDescent="0.3">
      <c r="A365" t="s">
        <v>275</v>
      </c>
      <c r="C365">
        <v>14608000</v>
      </c>
    </row>
    <row r="366" spans="1:3" x14ac:dyDescent="0.3">
      <c r="A366" t="s">
        <v>276</v>
      </c>
      <c r="C366">
        <v>14927000</v>
      </c>
    </row>
    <row r="367" spans="1:3" x14ac:dyDescent="0.3">
      <c r="A367" t="s">
        <v>277</v>
      </c>
      <c r="C367">
        <v>15191000</v>
      </c>
    </row>
    <row r="368" spans="1:3" x14ac:dyDescent="0.3">
      <c r="A368" t="s">
        <v>278</v>
      </c>
      <c r="C368">
        <v>19437000</v>
      </c>
    </row>
    <row r="369" spans="1:3" x14ac:dyDescent="0.3">
      <c r="A369" t="s">
        <v>279</v>
      </c>
      <c r="C369">
        <v>20867000</v>
      </c>
    </row>
    <row r="370" spans="1:3" x14ac:dyDescent="0.3">
      <c r="A370" t="s">
        <v>280</v>
      </c>
      <c r="C370">
        <v>23595000</v>
      </c>
    </row>
    <row r="371" spans="1:3" x14ac:dyDescent="0.3">
      <c r="A371" t="s">
        <v>281</v>
      </c>
      <c r="C371">
        <v>23386000</v>
      </c>
    </row>
    <row r="372" spans="1:3" x14ac:dyDescent="0.3">
      <c r="A372" t="s">
        <v>282</v>
      </c>
      <c r="C372">
        <v>25652000</v>
      </c>
    </row>
    <row r="373" spans="1:3" x14ac:dyDescent="0.3">
      <c r="A373" t="s">
        <v>283</v>
      </c>
      <c r="C373">
        <v>27434000</v>
      </c>
    </row>
    <row r="374" spans="1:3" x14ac:dyDescent="0.3">
      <c r="A374" t="s">
        <v>284</v>
      </c>
      <c r="C374">
        <v>27753000</v>
      </c>
    </row>
    <row r="375" spans="1:3" x14ac:dyDescent="0.3">
      <c r="A375" t="s">
        <v>285</v>
      </c>
      <c r="C375">
        <v>28017000</v>
      </c>
    </row>
    <row r="376" spans="1:3" x14ac:dyDescent="0.3">
      <c r="A376" t="s">
        <v>286</v>
      </c>
      <c r="C376">
        <v>32263000</v>
      </c>
    </row>
    <row r="377" spans="1:3" x14ac:dyDescent="0.3">
      <c r="A377" t="s">
        <v>287</v>
      </c>
      <c r="C377">
        <v>33693000</v>
      </c>
    </row>
    <row r="378" spans="1:3" x14ac:dyDescent="0.3">
      <c r="A378" t="s">
        <v>288</v>
      </c>
      <c r="C378">
        <v>35475000</v>
      </c>
    </row>
    <row r="379" spans="1:3" x14ac:dyDescent="0.3">
      <c r="A379" t="s">
        <v>289</v>
      </c>
      <c r="C379">
        <v>35794000</v>
      </c>
    </row>
    <row r="380" spans="1:3" x14ac:dyDescent="0.3">
      <c r="A380" t="s">
        <v>290</v>
      </c>
      <c r="C380">
        <v>36058000</v>
      </c>
    </row>
    <row r="381" spans="1:3" x14ac:dyDescent="0.3">
      <c r="A381" t="s">
        <v>291</v>
      </c>
      <c r="C381">
        <v>40304000</v>
      </c>
    </row>
    <row r="382" spans="1:3" x14ac:dyDescent="0.3">
      <c r="A382" t="s">
        <v>292</v>
      </c>
      <c r="C382">
        <v>41734000</v>
      </c>
    </row>
    <row r="383" spans="1:3" x14ac:dyDescent="0.3">
      <c r="A383" t="s">
        <v>293</v>
      </c>
      <c r="C383">
        <v>7051000</v>
      </c>
    </row>
    <row r="384" spans="1:3" x14ac:dyDescent="0.3">
      <c r="A384" t="s">
        <v>294</v>
      </c>
      <c r="C384">
        <v>7931000</v>
      </c>
    </row>
    <row r="385" spans="1:3" x14ac:dyDescent="0.3">
      <c r="A385" t="s">
        <v>295</v>
      </c>
      <c r="C385">
        <v>8866000</v>
      </c>
    </row>
    <row r="386" spans="1:3" x14ac:dyDescent="0.3">
      <c r="A386" t="s">
        <v>296</v>
      </c>
      <c r="C386">
        <v>10747000</v>
      </c>
    </row>
    <row r="387" spans="1:3" x14ac:dyDescent="0.3">
      <c r="A387" t="s">
        <v>297</v>
      </c>
      <c r="C387">
        <v>12617000</v>
      </c>
    </row>
    <row r="388" spans="1:3" x14ac:dyDescent="0.3">
      <c r="A388" t="s">
        <v>298</v>
      </c>
      <c r="C388">
        <v>13156000</v>
      </c>
    </row>
    <row r="389" spans="1:3" x14ac:dyDescent="0.3">
      <c r="A389" t="s">
        <v>299</v>
      </c>
      <c r="C389">
        <v>13442000</v>
      </c>
    </row>
    <row r="390" spans="1:3" x14ac:dyDescent="0.3">
      <c r="A390" t="s">
        <v>300</v>
      </c>
      <c r="C390">
        <v>15620000</v>
      </c>
    </row>
    <row r="391" spans="1:3" x14ac:dyDescent="0.3">
      <c r="A391" t="s">
        <v>301</v>
      </c>
      <c r="C391">
        <v>16500000</v>
      </c>
    </row>
    <row r="392" spans="1:3" x14ac:dyDescent="0.3">
      <c r="A392" t="s">
        <v>302</v>
      </c>
      <c r="C392">
        <v>20537000</v>
      </c>
    </row>
    <row r="393" spans="1:3" x14ac:dyDescent="0.3">
      <c r="A393" t="s">
        <v>303</v>
      </c>
      <c r="C393">
        <v>20812000</v>
      </c>
    </row>
    <row r="394" spans="1:3" x14ac:dyDescent="0.3">
      <c r="A394" t="s">
        <v>304</v>
      </c>
      <c r="C394">
        <v>21076000</v>
      </c>
    </row>
    <row r="395" spans="1:3" x14ac:dyDescent="0.3">
      <c r="A395" t="s">
        <v>305</v>
      </c>
      <c r="C395">
        <v>21846000</v>
      </c>
    </row>
    <row r="396" spans="1:3" x14ac:dyDescent="0.3">
      <c r="A396" t="s">
        <v>306</v>
      </c>
      <c r="C396">
        <v>24013000</v>
      </c>
    </row>
    <row r="397" spans="1:3" x14ac:dyDescent="0.3">
      <c r="A397" t="s">
        <v>307</v>
      </c>
      <c r="C397">
        <v>19613000</v>
      </c>
    </row>
    <row r="398" spans="1:3" x14ac:dyDescent="0.3">
      <c r="A398" t="s">
        <v>308</v>
      </c>
      <c r="C398">
        <v>21494000</v>
      </c>
    </row>
    <row r="399" spans="1:3" x14ac:dyDescent="0.3">
      <c r="A399" t="s">
        <v>309</v>
      </c>
      <c r="C399">
        <v>23364000</v>
      </c>
    </row>
    <row r="400" spans="1:3" x14ac:dyDescent="0.3">
      <c r="A400" t="s">
        <v>310</v>
      </c>
      <c r="C400">
        <v>23903000</v>
      </c>
    </row>
    <row r="401" spans="1:3" x14ac:dyDescent="0.3">
      <c r="A401" t="s">
        <v>311</v>
      </c>
      <c r="C401">
        <v>24189000</v>
      </c>
    </row>
    <row r="402" spans="1:3" x14ac:dyDescent="0.3">
      <c r="A402" t="s">
        <v>312</v>
      </c>
      <c r="C402">
        <v>26367000</v>
      </c>
    </row>
    <row r="403" spans="1:3" x14ac:dyDescent="0.3">
      <c r="A403" t="s">
        <v>313</v>
      </c>
      <c r="C403">
        <v>27247000</v>
      </c>
    </row>
    <row r="404" spans="1:3" x14ac:dyDescent="0.3">
      <c r="A404" t="s">
        <v>314</v>
      </c>
      <c r="C404">
        <v>29117000</v>
      </c>
    </row>
    <row r="405" spans="1:3" x14ac:dyDescent="0.3">
      <c r="A405" t="s">
        <v>315</v>
      </c>
      <c r="C405">
        <v>29656000</v>
      </c>
    </row>
    <row r="406" spans="1:3" x14ac:dyDescent="0.3">
      <c r="A406" t="s">
        <v>316</v>
      </c>
      <c r="C406">
        <v>29942000</v>
      </c>
    </row>
    <row r="407" spans="1:3" x14ac:dyDescent="0.3">
      <c r="A407" t="s">
        <v>317</v>
      </c>
      <c r="C407">
        <v>32120000</v>
      </c>
    </row>
    <row r="408" spans="1:3" x14ac:dyDescent="0.3">
      <c r="A408" t="s">
        <v>318</v>
      </c>
      <c r="C408">
        <v>33000000</v>
      </c>
    </row>
    <row r="409" spans="1:3" x14ac:dyDescent="0.3">
      <c r="A409" t="s">
        <v>319</v>
      </c>
      <c r="C409">
        <v>6534000</v>
      </c>
    </row>
    <row r="410" spans="1:3" x14ac:dyDescent="0.3">
      <c r="A410" t="s">
        <v>320</v>
      </c>
      <c r="C410">
        <v>7568000</v>
      </c>
    </row>
    <row r="411" spans="1:3" x14ac:dyDescent="0.3">
      <c r="A411" t="s">
        <v>321</v>
      </c>
      <c r="C411">
        <v>9174000</v>
      </c>
    </row>
    <row r="412" spans="1:3" x14ac:dyDescent="0.3">
      <c r="A412" t="s">
        <v>322</v>
      </c>
      <c r="C412">
        <v>10483000</v>
      </c>
    </row>
    <row r="413" spans="1:3" x14ac:dyDescent="0.3">
      <c r="A413" t="s">
        <v>323</v>
      </c>
      <c r="C413">
        <v>10780000</v>
      </c>
    </row>
    <row r="414" spans="1:3" x14ac:dyDescent="0.3">
      <c r="A414" t="s">
        <v>324</v>
      </c>
      <c r="C414">
        <v>10989000</v>
      </c>
    </row>
    <row r="415" spans="1:3" x14ac:dyDescent="0.3">
      <c r="A415" t="s">
        <v>325</v>
      </c>
      <c r="C415">
        <v>5280000</v>
      </c>
    </row>
    <row r="416" spans="1:3" x14ac:dyDescent="0.3">
      <c r="A416" t="s">
        <v>326</v>
      </c>
      <c r="C416">
        <v>5929000</v>
      </c>
    </row>
    <row r="417" spans="1:3" x14ac:dyDescent="0.3">
      <c r="A417" t="s">
        <v>327</v>
      </c>
      <c r="C417">
        <v>6633000</v>
      </c>
    </row>
    <row r="418" spans="1:3" x14ac:dyDescent="0.3">
      <c r="A418" t="s">
        <v>328</v>
      </c>
      <c r="C418">
        <v>8030000</v>
      </c>
    </row>
    <row r="419" spans="1:3" x14ac:dyDescent="0.3">
      <c r="A419" t="s">
        <v>329</v>
      </c>
      <c r="C419">
        <v>9438000</v>
      </c>
    </row>
    <row r="420" spans="1:3" x14ac:dyDescent="0.3">
      <c r="A420" t="s">
        <v>330</v>
      </c>
      <c r="C420">
        <v>9834000</v>
      </c>
    </row>
    <row r="421" spans="1:3" x14ac:dyDescent="0.3">
      <c r="A421" t="s">
        <v>331</v>
      </c>
      <c r="C421">
        <v>10043000</v>
      </c>
    </row>
    <row r="422" spans="1:3" x14ac:dyDescent="0.3">
      <c r="A422" t="s">
        <v>332</v>
      </c>
      <c r="C422">
        <v>11682000</v>
      </c>
    </row>
    <row r="423" spans="1:3" x14ac:dyDescent="0.3">
      <c r="A423" t="s">
        <v>333</v>
      </c>
      <c r="C423">
        <v>12331000</v>
      </c>
    </row>
    <row r="424" spans="1:3" x14ac:dyDescent="0.3">
      <c r="A424" t="s">
        <v>334</v>
      </c>
      <c r="C424">
        <v>15345000</v>
      </c>
    </row>
    <row r="425" spans="1:3" x14ac:dyDescent="0.3">
      <c r="A425" t="s">
        <v>335</v>
      </c>
      <c r="C425">
        <v>22374000</v>
      </c>
    </row>
    <row r="426" spans="1:3" x14ac:dyDescent="0.3">
      <c r="A426" t="s">
        <v>336</v>
      </c>
      <c r="C426">
        <v>8195000</v>
      </c>
    </row>
    <row r="427" spans="1:3" x14ac:dyDescent="0.3">
      <c r="A427" t="s">
        <v>337</v>
      </c>
      <c r="C427">
        <v>9119000</v>
      </c>
    </row>
    <row r="428" spans="1:3" x14ac:dyDescent="0.3">
      <c r="A428" t="s">
        <v>338</v>
      </c>
      <c r="C428">
        <v>10571000</v>
      </c>
    </row>
    <row r="429" spans="1:3" x14ac:dyDescent="0.3">
      <c r="A429" t="s">
        <v>339</v>
      </c>
      <c r="C429">
        <v>12518000</v>
      </c>
    </row>
    <row r="430" spans="1:3" x14ac:dyDescent="0.3">
      <c r="A430" t="s">
        <v>340</v>
      </c>
      <c r="C430">
        <v>14223000</v>
      </c>
    </row>
    <row r="431" spans="1:3" x14ac:dyDescent="0.3">
      <c r="A431" t="s">
        <v>341</v>
      </c>
      <c r="C431">
        <v>14531000</v>
      </c>
    </row>
    <row r="432" spans="1:3" x14ac:dyDescent="0.3">
      <c r="A432" t="s">
        <v>342</v>
      </c>
      <c r="C432">
        <v>16038000</v>
      </c>
    </row>
    <row r="433" spans="1:3" x14ac:dyDescent="0.3">
      <c r="A433" t="s">
        <v>343</v>
      </c>
      <c r="C433">
        <v>18194000</v>
      </c>
    </row>
    <row r="434" spans="1:3" x14ac:dyDescent="0.3">
      <c r="A434" t="s">
        <v>344</v>
      </c>
      <c r="C434">
        <v>19536000</v>
      </c>
    </row>
    <row r="435" spans="1:3" x14ac:dyDescent="0.3">
      <c r="A435" t="s">
        <v>345</v>
      </c>
      <c r="C435">
        <v>42570000</v>
      </c>
    </row>
    <row r="436" spans="1:3" x14ac:dyDescent="0.3">
      <c r="A436" t="s">
        <v>346</v>
      </c>
      <c r="C436">
        <v>43670000</v>
      </c>
    </row>
    <row r="437" spans="1:3" x14ac:dyDescent="0.3">
      <c r="A437" t="s">
        <v>347</v>
      </c>
      <c r="C437">
        <v>46200000</v>
      </c>
    </row>
    <row r="438" spans="1:3" x14ac:dyDescent="0.3">
      <c r="A438" t="s">
        <v>348</v>
      </c>
      <c r="C438">
        <v>48400000</v>
      </c>
    </row>
    <row r="439" spans="1:3" x14ac:dyDescent="0.3">
      <c r="A439" t="s">
        <v>349</v>
      </c>
      <c r="C439">
        <v>49500000</v>
      </c>
    </row>
    <row r="440" spans="1:3" x14ac:dyDescent="0.3">
      <c r="A440" t="s">
        <v>350</v>
      </c>
      <c r="C440">
        <v>56540000</v>
      </c>
    </row>
    <row r="441" spans="1:3" x14ac:dyDescent="0.3">
      <c r="A441" t="s">
        <v>351</v>
      </c>
      <c r="C441">
        <v>92400000</v>
      </c>
    </row>
    <row r="442" spans="1:3" x14ac:dyDescent="0.3">
      <c r="A442" t="s">
        <v>352</v>
      </c>
      <c r="C442">
        <v>89870000</v>
      </c>
    </row>
    <row r="443" spans="1:3" x14ac:dyDescent="0.3">
      <c r="A443" t="s">
        <v>353</v>
      </c>
      <c r="C443">
        <v>113080000</v>
      </c>
    </row>
    <row r="444" spans="1:3" x14ac:dyDescent="0.3">
      <c r="A444" t="s">
        <v>354</v>
      </c>
      <c r="C444">
        <v>7282000</v>
      </c>
    </row>
    <row r="445" spans="1:3" x14ac:dyDescent="0.3">
      <c r="A445" t="s">
        <v>355</v>
      </c>
      <c r="C445">
        <v>8239000</v>
      </c>
    </row>
    <row r="446" spans="1:3" x14ac:dyDescent="0.3">
      <c r="A446" t="s">
        <v>356</v>
      </c>
      <c r="C446">
        <v>14124000</v>
      </c>
    </row>
    <row r="447" spans="1:3" x14ac:dyDescent="0.3">
      <c r="A447" t="s">
        <v>357</v>
      </c>
      <c r="C447">
        <v>19261000</v>
      </c>
    </row>
    <row r="448" spans="1:3" x14ac:dyDescent="0.3">
      <c r="A448" t="s">
        <v>595</v>
      </c>
      <c r="B448" t="s">
        <v>593</v>
      </c>
      <c r="C448">
        <v>281600</v>
      </c>
    </row>
    <row r="449" spans="1:3" x14ac:dyDescent="0.3">
      <c r="A449" t="s">
        <v>596</v>
      </c>
      <c r="B449" t="s">
        <v>594</v>
      </c>
      <c r="C449">
        <v>540100</v>
      </c>
    </row>
    <row r="450" spans="1:3" x14ac:dyDescent="0.3">
      <c r="A450" t="s">
        <v>597</v>
      </c>
      <c r="B450" t="s">
        <v>599</v>
      </c>
      <c r="C450">
        <v>2192300</v>
      </c>
    </row>
    <row r="451" spans="1:3" x14ac:dyDescent="0.3">
      <c r="A451" t="s">
        <v>598</v>
      </c>
      <c r="B451" t="s">
        <v>600</v>
      </c>
      <c r="C451">
        <v>1966800</v>
      </c>
    </row>
    <row r="452" spans="1:3" x14ac:dyDescent="0.3">
      <c r="A452" t="s">
        <v>358</v>
      </c>
      <c r="B452" t="s">
        <v>601</v>
      </c>
      <c r="C452">
        <v>2585000</v>
      </c>
    </row>
    <row r="453" spans="1:3" x14ac:dyDescent="0.3">
      <c r="A453" t="s">
        <v>359</v>
      </c>
      <c r="C453">
        <v>1230900</v>
      </c>
    </row>
    <row r="454" spans="1:3" x14ac:dyDescent="0.3">
      <c r="A454" t="s">
        <v>360</v>
      </c>
      <c r="C454">
        <v>495000</v>
      </c>
    </row>
    <row r="455" spans="1:3" x14ac:dyDescent="0.3">
      <c r="A455" t="s">
        <v>361</v>
      </c>
      <c r="C455">
        <v>537900</v>
      </c>
    </row>
    <row r="456" spans="1:3" x14ac:dyDescent="0.3">
      <c r="A456" t="s">
        <v>362</v>
      </c>
      <c r="C456">
        <v>544500</v>
      </c>
    </row>
    <row r="457" spans="1:3" x14ac:dyDescent="0.3">
      <c r="A457" t="s">
        <v>363</v>
      </c>
      <c r="C457">
        <v>548900</v>
      </c>
    </row>
    <row r="458" spans="1:3" x14ac:dyDescent="0.3">
      <c r="A458" t="s">
        <v>364</v>
      </c>
      <c r="C458">
        <v>554400</v>
      </c>
    </row>
    <row r="459" spans="1:3" x14ac:dyDescent="0.3">
      <c r="A459" t="s">
        <v>365</v>
      </c>
      <c r="C459">
        <v>566500</v>
      </c>
    </row>
    <row r="460" spans="1:3" x14ac:dyDescent="0.3">
      <c r="A460" t="s">
        <v>366</v>
      </c>
      <c r="C460">
        <v>579700</v>
      </c>
    </row>
    <row r="461" spans="1:3" x14ac:dyDescent="0.3">
      <c r="A461" t="s">
        <v>367</v>
      </c>
      <c r="C461">
        <v>591800</v>
      </c>
    </row>
    <row r="462" spans="1:3" x14ac:dyDescent="0.3">
      <c r="A462" t="s">
        <v>368</v>
      </c>
      <c r="C462">
        <v>728200</v>
      </c>
    </row>
    <row r="463" spans="1:3" x14ac:dyDescent="0.3">
      <c r="A463" t="s">
        <v>369</v>
      </c>
      <c r="C463">
        <v>847000</v>
      </c>
    </row>
    <row r="464" spans="1:3" x14ac:dyDescent="0.3">
      <c r="A464" t="s">
        <v>370</v>
      </c>
      <c r="C464">
        <v>870100</v>
      </c>
    </row>
    <row r="465" spans="1:3" x14ac:dyDescent="0.3">
      <c r="A465" t="s">
        <v>371</v>
      </c>
      <c r="C465">
        <v>547800</v>
      </c>
    </row>
    <row r="466" spans="1:3" x14ac:dyDescent="0.3">
      <c r="A466" t="s">
        <v>372</v>
      </c>
      <c r="C466">
        <v>554400</v>
      </c>
    </row>
    <row r="467" spans="1:3" x14ac:dyDescent="0.3">
      <c r="A467" t="s">
        <v>373</v>
      </c>
      <c r="C467">
        <v>561000</v>
      </c>
    </row>
    <row r="468" spans="1:3" x14ac:dyDescent="0.3">
      <c r="A468" t="s">
        <v>374</v>
      </c>
      <c r="C468">
        <v>563200</v>
      </c>
    </row>
    <row r="469" spans="1:3" x14ac:dyDescent="0.3">
      <c r="A469" t="s">
        <v>375</v>
      </c>
      <c r="C469">
        <v>564300</v>
      </c>
    </row>
    <row r="470" spans="1:3" x14ac:dyDescent="0.3">
      <c r="A470" t="s">
        <v>376</v>
      </c>
      <c r="C470">
        <v>576400</v>
      </c>
    </row>
    <row r="471" spans="1:3" x14ac:dyDescent="0.3">
      <c r="A471" t="s">
        <v>377</v>
      </c>
      <c r="C471">
        <v>588500</v>
      </c>
    </row>
    <row r="472" spans="1:3" x14ac:dyDescent="0.3">
      <c r="A472" t="s">
        <v>378</v>
      </c>
      <c r="C472">
        <v>600600</v>
      </c>
    </row>
    <row r="473" spans="1:3" x14ac:dyDescent="0.3">
      <c r="A473" t="s">
        <v>379</v>
      </c>
      <c r="C473">
        <v>741400</v>
      </c>
    </row>
    <row r="474" spans="1:3" x14ac:dyDescent="0.3">
      <c r="A474" t="s">
        <v>380</v>
      </c>
      <c r="C474">
        <v>862400</v>
      </c>
    </row>
    <row r="475" spans="1:3" x14ac:dyDescent="0.3">
      <c r="A475" t="s">
        <v>381</v>
      </c>
      <c r="C475">
        <v>885500</v>
      </c>
    </row>
    <row r="476" spans="1:3" x14ac:dyDescent="0.3">
      <c r="A476" t="s">
        <v>382</v>
      </c>
      <c r="C476">
        <v>682000</v>
      </c>
    </row>
    <row r="477" spans="1:3" x14ac:dyDescent="0.3">
      <c r="A477" t="s">
        <v>383</v>
      </c>
      <c r="C477">
        <v>690800</v>
      </c>
    </row>
    <row r="478" spans="1:3" x14ac:dyDescent="0.3">
      <c r="A478" t="s">
        <v>384</v>
      </c>
      <c r="C478">
        <v>697400</v>
      </c>
    </row>
    <row r="479" spans="1:3" x14ac:dyDescent="0.3">
      <c r="A479" t="s">
        <v>385</v>
      </c>
      <c r="C479">
        <v>704000</v>
      </c>
    </row>
    <row r="480" spans="1:3" x14ac:dyDescent="0.3">
      <c r="A480" t="s">
        <v>386</v>
      </c>
      <c r="C480">
        <v>705100</v>
      </c>
    </row>
    <row r="481" spans="1:3" x14ac:dyDescent="0.3">
      <c r="A481" t="s">
        <v>387</v>
      </c>
      <c r="C481">
        <v>720500</v>
      </c>
    </row>
    <row r="482" spans="1:3" x14ac:dyDescent="0.3">
      <c r="A482" t="s">
        <v>388</v>
      </c>
      <c r="C482">
        <v>734800</v>
      </c>
    </row>
    <row r="483" spans="1:3" x14ac:dyDescent="0.3">
      <c r="A483" t="s">
        <v>389</v>
      </c>
      <c r="C483">
        <v>750200</v>
      </c>
    </row>
    <row r="484" spans="1:3" x14ac:dyDescent="0.3">
      <c r="A484" t="s">
        <v>390</v>
      </c>
      <c r="C484">
        <v>924000</v>
      </c>
    </row>
    <row r="485" spans="1:3" x14ac:dyDescent="0.3">
      <c r="A485" t="s">
        <v>391</v>
      </c>
      <c r="C485">
        <v>1075800</v>
      </c>
    </row>
    <row r="486" spans="1:3" x14ac:dyDescent="0.3">
      <c r="A486" t="s">
        <v>392</v>
      </c>
      <c r="C486">
        <v>1105500</v>
      </c>
    </row>
    <row r="487" spans="1:3" x14ac:dyDescent="0.3">
      <c r="A487" t="s">
        <v>160</v>
      </c>
      <c r="C487">
        <v>501600</v>
      </c>
    </row>
    <row r="488" spans="1:3" x14ac:dyDescent="0.3">
      <c r="A488" t="s">
        <v>161</v>
      </c>
      <c r="C488">
        <v>524700</v>
      </c>
    </row>
    <row r="489" spans="1:3" x14ac:dyDescent="0.3">
      <c r="A489" t="s">
        <v>162</v>
      </c>
      <c r="C489">
        <v>536800</v>
      </c>
    </row>
    <row r="490" spans="1:3" x14ac:dyDescent="0.3">
      <c r="A490" t="s">
        <v>163</v>
      </c>
      <c r="C490">
        <v>665500</v>
      </c>
    </row>
    <row r="491" spans="1:3" x14ac:dyDescent="0.3">
      <c r="A491" t="s">
        <v>393</v>
      </c>
      <c r="C491">
        <v>1320000</v>
      </c>
    </row>
    <row r="492" spans="1:3" x14ac:dyDescent="0.3">
      <c r="A492" t="s">
        <v>394</v>
      </c>
      <c r="C492">
        <v>1529000</v>
      </c>
    </row>
    <row r="493" spans="1:3" x14ac:dyDescent="0.3">
      <c r="A493" t="s">
        <v>395</v>
      </c>
      <c r="C493">
        <v>1782000</v>
      </c>
    </row>
    <row r="494" spans="1:3" x14ac:dyDescent="0.3">
      <c r="A494" t="s">
        <v>396</v>
      </c>
      <c r="C494">
        <v>2464000</v>
      </c>
    </row>
    <row r="495" spans="1:3" x14ac:dyDescent="0.3">
      <c r="A495" t="s">
        <v>397</v>
      </c>
      <c r="C495">
        <v>2937000</v>
      </c>
    </row>
    <row r="496" spans="1:3" x14ac:dyDescent="0.3">
      <c r="A496" t="s">
        <v>398</v>
      </c>
      <c r="C496">
        <v>3630000</v>
      </c>
    </row>
    <row r="497" spans="1:3" x14ac:dyDescent="0.3">
      <c r="A497" t="s">
        <v>399</v>
      </c>
      <c r="C497">
        <v>4994000</v>
      </c>
    </row>
    <row r="498" spans="1:3" x14ac:dyDescent="0.3">
      <c r="A498" t="s">
        <v>400</v>
      </c>
      <c r="C498">
        <v>1562000</v>
      </c>
    </row>
    <row r="499" spans="1:3" x14ac:dyDescent="0.3">
      <c r="A499" t="s">
        <v>401</v>
      </c>
      <c r="C499">
        <v>1782000</v>
      </c>
    </row>
    <row r="500" spans="1:3" x14ac:dyDescent="0.3">
      <c r="A500" t="s">
        <v>402</v>
      </c>
      <c r="C500">
        <v>2002000</v>
      </c>
    </row>
    <row r="501" spans="1:3" x14ac:dyDescent="0.3">
      <c r="A501" t="s">
        <v>403</v>
      </c>
      <c r="C501">
        <v>2662000</v>
      </c>
    </row>
    <row r="502" spans="1:3" x14ac:dyDescent="0.3">
      <c r="A502" t="s">
        <v>404</v>
      </c>
      <c r="C502">
        <v>3102000</v>
      </c>
    </row>
    <row r="503" spans="1:3" x14ac:dyDescent="0.3">
      <c r="A503" t="s">
        <v>405</v>
      </c>
      <c r="C503">
        <v>454300</v>
      </c>
    </row>
    <row r="504" spans="1:3" x14ac:dyDescent="0.3">
      <c r="A504" t="s">
        <v>406</v>
      </c>
      <c r="C504">
        <v>465300</v>
      </c>
    </row>
    <row r="505" spans="1:3" x14ac:dyDescent="0.3">
      <c r="A505" t="s">
        <v>407</v>
      </c>
      <c r="C505">
        <v>477400</v>
      </c>
    </row>
    <row r="506" spans="1:3" x14ac:dyDescent="0.3">
      <c r="A506" t="s">
        <v>408</v>
      </c>
      <c r="C506">
        <v>488400</v>
      </c>
    </row>
    <row r="507" spans="1:3" x14ac:dyDescent="0.3">
      <c r="A507" t="s">
        <v>409</v>
      </c>
      <c r="C507">
        <v>613800</v>
      </c>
    </row>
    <row r="508" spans="1:3" x14ac:dyDescent="0.3">
      <c r="A508" t="s">
        <v>410</v>
      </c>
      <c r="C508">
        <v>680900</v>
      </c>
    </row>
    <row r="509" spans="1:3" x14ac:dyDescent="0.3">
      <c r="A509" t="s">
        <v>411</v>
      </c>
      <c r="C509">
        <v>704000</v>
      </c>
    </row>
    <row r="510" spans="1:3" x14ac:dyDescent="0.3">
      <c r="A510" t="s">
        <v>412</v>
      </c>
      <c r="C510">
        <v>491700</v>
      </c>
    </row>
    <row r="511" spans="1:3" x14ac:dyDescent="0.3">
      <c r="A511" t="s">
        <v>413</v>
      </c>
      <c r="C511">
        <v>495000</v>
      </c>
    </row>
    <row r="512" spans="1:3" x14ac:dyDescent="0.3">
      <c r="A512" t="s">
        <v>414</v>
      </c>
      <c r="C512">
        <v>502700</v>
      </c>
    </row>
    <row r="513" spans="1:3" x14ac:dyDescent="0.3">
      <c r="A513" t="s">
        <v>415</v>
      </c>
      <c r="C513">
        <v>512600</v>
      </c>
    </row>
    <row r="514" spans="1:3" x14ac:dyDescent="0.3">
      <c r="A514" t="s">
        <v>416</v>
      </c>
      <c r="C514">
        <v>504900</v>
      </c>
    </row>
    <row r="515" spans="1:3" x14ac:dyDescent="0.3">
      <c r="A515" t="s">
        <v>417</v>
      </c>
      <c r="C515">
        <v>517000</v>
      </c>
    </row>
    <row r="516" spans="1:3" x14ac:dyDescent="0.3">
      <c r="A516" t="s">
        <v>418</v>
      </c>
      <c r="C516">
        <v>528000</v>
      </c>
    </row>
    <row r="517" spans="1:3" x14ac:dyDescent="0.3">
      <c r="A517" t="s">
        <v>419</v>
      </c>
      <c r="C517">
        <v>540100</v>
      </c>
    </row>
    <row r="518" spans="1:3" x14ac:dyDescent="0.3">
      <c r="A518" t="s">
        <v>420</v>
      </c>
      <c r="C518">
        <v>666600</v>
      </c>
    </row>
    <row r="519" spans="1:3" x14ac:dyDescent="0.3">
      <c r="A519" t="s">
        <v>421</v>
      </c>
      <c r="C519">
        <v>735900</v>
      </c>
    </row>
    <row r="520" spans="1:3" x14ac:dyDescent="0.3">
      <c r="A520" t="s">
        <v>422</v>
      </c>
      <c r="C520">
        <v>759000</v>
      </c>
    </row>
    <row r="521" spans="1:3" x14ac:dyDescent="0.3">
      <c r="A521" t="s">
        <v>423</v>
      </c>
      <c r="C521">
        <v>558800</v>
      </c>
    </row>
    <row r="522" spans="1:3" x14ac:dyDescent="0.3">
      <c r="A522" t="s">
        <v>424</v>
      </c>
      <c r="C522">
        <v>564300</v>
      </c>
    </row>
    <row r="523" spans="1:3" x14ac:dyDescent="0.3">
      <c r="A523" t="s">
        <v>425</v>
      </c>
      <c r="C523">
        <v>569800</v>
      </c>
    </row>
    <row r="524" spans="1:3" x14ac:dyDescent="0.3">
      <c r="A524" t="s">
        <v>426</v>
      </c>
      <c r="C524">
        <v>575300</v>
      </c>
    </row>
    <row r="525" spans="1:3" x14ac:dyDescent="0.3">
      <c r="A525" t="s">
        <v>427</v>
      </c>
      <c r="C525">
        <v>577500</v>
      </c>
    </row>
    <row r="526" spans="1:3" x14ac:dyDescent="0.3">
      <c r="A526" t="s">
        <v>428</v>
      </c>
      <c r="C526">
        <v>591800</v>
      </c>
    </row>
    <row r="527" spans="1:3" x14ac:dyDescent="0.3">
      <c r="A527" t="s">
        <v>429</v>
      </c>
      <c r="C527">
        <v>606100</v>
      </c>
    </row>
    <row r="528" spans="1:3" x14ac:dyDescent="0.3">
      <c r="A528" t="s">
        <v>430</v>
      </c>
      <c r="C528">
        <v>621500</v>
      </c>
    </row>
    <row r="529" spans="1:3" x14ac:dyDescent="0.3">
      <c r="A529" t="s">
        <v>431</v>
      </c>
      <c r="C529">
        <v>779900</v>
      </c>
    </row>
    <row r="530" spans="1:3" x14ac:dyDescent="0.3">
      <c r="A530" t="s">
        <v>432</v>
      </c>
      <c r="C530">
        <v>864600</v>
      </c>
    </row>
    <row r="531" spans="1:3" x14ac:dyDescent="0.3">
      <c r="A531" t="s">
        <v>433</v>
      </c>
      <c r="C531">
        <v>894300</v>
      </c>
    </row>
    <row r="532" spans="1:3" x14ac:dyDescent="0.3">
      <c r="A532" t="s">
        <v>434</v>
      </c>
      <c r="C532">
        <v>446600</v>
      </c>
    </row>
    <row r="533" spans="1:3" x14ac:dyDescent="0.3">
      <c r="A533" t="s">
        <v>435</v>
      </c>
      <c r="C533">
        <v>473000</v>
      </c>
    </row>
    <row r="534" spans="1:3" x14ac:dyDescent="0.3">
      <c r="A534" t="s">
        <v>436</v>
      </c>
      <c r="C534">
        <v>500500</v>
      </c>
    </row>
    <row r="535" spans="1:3" x14ac:dyDescent="0.3">
      <c r="A535" t="s">
        <v>437</v>
      </c>
      <c r="C535">
        <v>649000</v>
      </c>
    </row>
    <row r="536" spans="1:3" x14ac:dyDescent="0.3">
      <c r="A536" t="s">
        <v>438</v>
      </c>
      <c r="C536">
        <v>1584000</v>
      </c>
    </row>
    <row r="537" spans="1:3" x14ac:dyDescent="0.3">
      <c r="A537" t="s">
        <v>439</v>
      </c>
      <c r="C537">
        <v>1870000</v>
      </c>
    </row>
    <row r="538" spans="1:3" x14ac:dyDescent="0.3">
      <c r="A538" t="s">
        <v>440</v>
      </c>
      <c r="C538">
        <v>2134000</v>
      </c>
    </row>
    <row r="539" spans="1:3" x14ac:dyDescent="0.3">
      <c r="A539" t="s">
        <v>441</v>
      </c>
      <c r="C539">
        <v>3025000</v>
      </c>
    </row>
    <row r="540" spans="1:3" x14ac:dyDescent="0.3">
      <c r="A540" t="s">
        <v>442</v>
      </c>
      <c r="C540">
        <v>1342000</v>
      </c>
    </row>
    <row r="541" spans="1:3" x14ac:dyDescent="0.3">
      <c r="A541" t="s">
        <v>443</v>
      </c>
      <c r="C541">
        <v>1650000</v>
      </c>
    </row>
    <row r="542" spans="1:3" x14ac:dyDescent="0.3">
      <c r="A542" t="s">
        <v>444</v>
      </c>
      <c r="C542">
        <v>1925000</v>
      </c>
    </row>
    <row r="543" spans="1:3" x14ac:dyDescent="0.3">
      <c r="A543" t="s">
        <v>445</v>
      </c>
      <c r="C543">
        <v>2860000</v>
      </c>
    </row>
    <row r="544" spans="1:3" x14ac:dyDescent="0.3">
      <c r="A544" t="s">
        <v>446</v>
      </c>
      <c r="C544">
        <v>196900</v>
      </c>
    </row>
    <row r="545" spans="1:3" x14ac:dyDescent="0.3">
      <c r="A545" t="s">
        <v>447</v>
      </c>
      <c r="C545">
        <v>220000</v>
      </c>
    </row>
    <row r="546" spans="1:3" x14ac:dyDescent="0.3">
      <c r="A546" t="s">
        <v>448</v>
      </c>
      <c r="C546">
        <v>150700</v>
      </c>
    </row>
    <row r="547" spans="1:3" x14ac:dyDescent="0.3">
      <c r="A547" t="s">
        <v>449</v>
      </c>
      <c r="C547">
        <v>184800</v>
      </c>
    </row>
    <row r="548" spans="1:3" x14ac:dyDescent="0.3">
      <c r="A548" t="s">
        <v>450</v>
      </c>
      <c r="C548">
        <v>138600</v>
      </c>
    </row>
    <row r="549" spans="1:3" x14ac:dyDescent="0.3">
      <c r="A549" t="s">
        <v>451</v>
      </c>
      <c r="C549">
        <v>173800</v>
      </c>
    </row>
    <row r="550" spans="1:3" x14ac:dyDescent="0.3">
      <c r="A550" t="s">
        <v>452</v>
      </c>
      <c r="C550">
        <v>162800</v>
      </c>
    </row>
    <row r="551" spans="1:3" x14ac:dyDescent="0.3">
      <c r="A551" t="s">
        <v>453</v>
      </c>
      <c r="C551">
        <v>190300</v>
      </c>
    </row>
    <row r="552" spans="1:3" x14ac:dyDescent="0.3">
      <c r="A552" t="s">
        <v>454</v>
      </c>
      <c r="C552">
        <v>216700</v>
      </c>
    </row>
    <row r="553" spans="1:3" x14ac:dyDescent="0.3">
      <c r="A553" t="s">
        <v>455</v>
      </c>
      <c r="C553">
        <v>324500</v>
      </c>
    </row>
    <row r="554" spans="1:3" x14ac:dyDescent="0.3">
      <c r="A554" t="s">
        <v>456</v>
      </c>
      <c r="C554">
        <v>226600</v>
      </c>
    </row>
    <row r="555" spans="1:3" x14ac:dyDescent="0.3">
      <c r="A555" t="s">
        <v>457</v>
      </c>
      <c r="C555">
        <v>440000</v>
      </c>
    </row>
    <row r="556" spans="1:3" x14ac:dyDescent="0.3">
      <c r="A556" t="s">
        <v>458</v>
      </c>
      <c r="C556">
        <v>167200</v>
      </c>
    </row>
    <row r="557" spans="1:3" x14ac:dyDescent="0.3">
      <c r="A557" t="s">
        <v>459</v>
      </c>
      <c r="C557">
        <v>162800</v>
      </c>
    </row>
    <row r="558" spans="1:3" x14ac:dyDescent="0.3">
      <c r="A558" t="s">
        <v>460</v>
      </c>
      <c r="C558">
        <v>107800</v>
      </c>
    </row>
    <row r="559" spans="1:3" x14ac:dyDescent="0.3">
      <c r="A559" t="s">
        <v>461</v>
      </c>
      <c r="C559">
        <v>161700</v>
      </c>
    </row>
    <row r="560" spans="1:3" x14ac:dyDescent="0.3">
      <c r="A560" t="s">
        <v>462</v>
      </c>
      <c r="C560">
        <v>173800</v>
      </c>
    </row>
    <row r="561" spans="1:3" x14ac:dyDescent="0.3">
      <c r="A561" t="s">
        <v>463</v>
      </c>
      <c r="C561">
        <v>207900</v>
      </c>
    </row>
    <row r="562" spans="1:3" x14ac:dyDescent="0.3">
      <c r="A562" t="s">
        <v>464</v>
      </c>
      <c r="C562">
        <v>297000</v>
      </c>
    </row>
    <row r="563" spans="1:3" x14ac:dyDescent="0.3">
      <c r="A563" t="s">
        <v>465</v>
      </c>
      <c r="C563">
        <v>313500</v>
      </c>
    </row>
    <row r="564" spans="1:3" x14ac:dyDescent="0.3">
      <c r="A564" t="s">
        <v>466</v>
      </c>
      <c r="C564">
        <v>330000</v>
      </c>
    </row>
    <row r="565" spans="1:3" x14ac:dyDescent="0.3">
      <c r="A565" t="s">
        <v>467</v>
      </c>
      <c r="C565">
        <v>127600</v>
      </c>
    </row>
    <row r="566" spans="1:3" x14ac:dyDescent="0.3">
      <c r="A566" t="s">
        <v>468</v>
      </c>
      <c r="C566">
        <v>173800</v>
      </c>
    </row>
    <row r="567" spans="1:3" x14ac:dyDescent="0.3">
      <c r="A567" t="s">
        <v>469</v>
      </c>
      <c r="C567">
        <v>115500</v>
      </c>
    </row>
    <row r="568" spans="1:3" x14ac:dyDescent="0.3">
      <c r="A568" t="s">
        <v>470</v>
      </c>
      <c r="C568">
        <v>270600</v>
      </c>
    </row>
    <row r="569" spans="1:3" x14ac:dyDescent="0.3">
      <c r="A569" t="s">
        <v>471</v>
      </c>
      <c r="C569">
        <v>281600</v>
      </c>
    </row>
    <row r="570" spans="1:3" x14ac:dyDescent="0.3">
      <c r="A570" t="s">
        <v>472</v>
      </c>
      <c r="C570">
        <v>381700</v>
      </c>
    </row>
    <row r="571" spans="1:3" x14ac:dyDescent="0.3">
      <c r="A571" t="s">
        <v>473</v>
      </c>
      <c r="C571">
        <v>397100</v>
      </c>
    </row>
    <row r="572" spans="1:3" x14ac:dyDescent="0.3">
      <c r="A572" t="s">
        <v>474</v>
      </c>
      <c r="C572">
        <v>397100</v>
      </c>
    </row>
    <row r="573" spans="1:3" x14ac:dyDescent="0.3">
      <c r="A573" t="s">
        <v>475</v>
      </c>
      <c r="C573">
        <v>529100</v>
      </c>
    </row>
    <row r="574" spans="1:3" x14ac:dyDescent="0.3">
      <c r="A574" t="s">
        <v>476</v>
      </c>
      <c r="C574">
        <v>529100</v>
      </c>
    </row>
    <row r="575" spans="1:3" x14ac:dyDescent="0.3">
      <c r="A575" t="s">
        <v>477</v>
      </c>
      <c r="C575">
        <v>529100</v>
      </c>
    </row>
    <row r="576" spans="1:3" x14ac:dyDescent="0.3">
      <c r="A576" t="s">
        <v>478</v>
      </c>
      <c r="C576">
        <v>90200</v>
      </c>
    </row>
    <row r="577" spans="1:3" x14ac:dyDescent="0.3">
      <c r="A577" t="s">
        <v>479</v>
      </c>
      <c r="C577">
        <v>62000</v>
      </c>
    </row>
    <row r="578" spans="1:3" x14ac:dyDescent="0.3">
      <c r="A578" t="s">
        <v>480</v>
      </c>
      <c r="C578">
        <v>60000</v>
      </c>
    </row>
    <row r="579" spans="1:3" x14ac:dyDescent="0.3">
      <c r="A579" t="s">
        <v>481</v>
      </c>
      <c r="C579">
        <v>30000</v>
      </c>
    </row>
    <row r="580" spans="1:3" x14ac:dyDescent="0.3">
      <c r="A580" t="s">
        <v>482</v>
      </c>
      <c r="C580">
        <v>28000</v>
      </c>
    </row>
    <row r="581" spans="1:3" x14ac:dyDescent="0.3">
      <c r="A581" t="s">
        <v>483</v>
      </c>
      <c r="C581">
        <v>165000</v>
      </c>
    </row>
    <row r="582" spans="1:3" x14ac:dyDescent="0.3">
      <c r="A582" t="s">
        <v>484</v>
      </c>
      <c r="C582">
        <v>94600</v>
      </c>
    </row>
    <row r="583" spans="1:3" x14ac:dyDescent="0.3">
      <c r="A583" t="s">
        <v>485</v>
      </c>
      <c r="C583">
        <v>53900</v>
      </c>
    </row>
    <row r="584" spans="1:3" x14ac:dyDescent="0.3">
      <c r="A584" t="s">
        <v>486</v>
      </c>
      <c r="C584">
        <v>100100</v>
      </c>
    </row>
    <row r="585" spans="1:3" x14ac:dyDescent="0.3">
      <c r="A585" t="s">
        <v>487</v>
      </c>
      <c r="C585">
        <v>1530100</v>
      </c>
    </row>
    <row r="586" spans="1:3" x14ac:dyDescent="0.3">
      <c r="A586" t="s">
        <v>488</v>
      </c>
      <c r="C586">
        <v>1824900</v>
      </c>
    </row>
    <row r="587" spans="1:3" x14ac:dyDescent="0.3">
      <c r="A587" t="s">
        <v>489</v>
      </c>
      <c r="C587">
        <v>2118600</v>
      </c>
    </row>
    <row r="588" spans="1:3" x14ac:dyDescent="0.3">
      <c r="A588" t="s">
        <v>490</v>
      </c>
      <c r="C588">
        <v>2589400</v>
      </c>
    </row>
    <row r="589" spans="1:3" x14ac:dyDescent="0.3">
      <c r="A589" t="s">
        <v>491</v>
      </c>
      <c r="C589">
        <v>3060200</v>
      </c>
    </row>
    <row r="590" spans="1:3" x14ac:dyDescent="0.3">
      <c r="A590" t="s">
        <v>492</v>
      </c>
      <c r="C590">
        <v>44000</v>
      </c>
    </row>
    <row r="591" spans="1:3" x14ac:dyDescent="0.3">
      <c r="A591" t="s">
        <v>493</v>
      </c>
      <c r="C591">
        <v>53000</v>
      </c>
    </row>
    <row r="592" spans="1:3" x14ac:dyDescent="0.3">
      <c r="A592" t="s">
        <v>494</v>
      </c>
      <c r="C592">
        <v>53000</v>
      </c>
    </row>
    <row r="593" spans="1:3" x14ac:dyDescent="0.3">
      <c r="A593" t="s">
        <v>495</v>
      </c>
      <c r="C593">
        <v>94000</v>
      </c>
    </row>
    <row r="594" spans="1:3" x14ac:dyDescent="0.3">
      <c r="A594" t="s">
        <v>496</v>
      </c>
      <c r="C594">
        <v>1389300</v>
      </c>
    </row>
    <row r="595" spans="1:3" x14ac:dyDescent="0.3">
      <c r="A595" t="s">
        <v>497</v>
      </c>
      <c r="C595">
        <v>1059300</v>
      </c>
    </row>
    <row r="596" spans="1:3" x14ac:dyDescent="0.3">
      <c r="A596" t="s">
        <v>498</v>
      </c>
      <c r="C596">
        <v>706200</v>
      </c>
    </row>
    <row r="597" spans="1:3" x14ac:dyDescent="0.3">
      <c r="A597" t="s">
        <v>499</v>
      </c>
      <c r="C597">
        <v>447700</v>
      </c>
    </row>
    <row r="598" spans="1:3" x14ac:dyDescent="0.3">
      <c r="A598" t="s">
        <v>500</v>
      </c>
      <c r="C598">
        <v>518100</v>
      </c>
    </row>
    <row r="599" spans="1:3" x14ac:dyDescent="0.3">
      <c r="A599" t="s">
        <v>501</v>
      </c>
      <c r="C599">
        <v>612700</v>
      </c>
    </row>
    <row r="600" spans="1:3" x14ac:dyDescent="0.3">
      <c r="A600" t="s">
        <v>502</v>
      </c>
      <c r="C600">
        <v>823900</v>
      </c>
    </row>
    <row r="601" spans="1:3" x14ac:dyDescent="0.3">
      <c r="A601" t="s">
        <v>503</v>
      </c>
      <c r="C601">
        <v>189200</v>
      </c>
    </row>
    <row r="602" spans="1:3" x14ac:dyDescent="0.3">
      <c r="A602" t="s">
        <v>504</v>
      </c>
      <c r="C602">
        <v>45100</v>
      </c>
    </row>
    <row r="603" spans="1:3" x14ac:dyDescent="0.3">
      <c r="A603" t="s">
        <v>505</v>
      </c>
      <c r="C603">
        <v>52800</v>
      </c>
    </row>
    <row r="604" spans="1:3" x14ac:dyDescent="0.3">
      <c r="A604" t="s">
        <v>506</v>
      </c>
      <c r="C604">
        <v>83600</v>
      </c>
    </row>
    <row r="605" spans="1:3" x14ac:dyDescent="0.3">
      <c r="A605" t="s">
        <v>507</v>
      </c>
      <c r="C605">
        <v>124300</v>
      </c>
    </row>
    <row r="606" spans="1:3" x14ac:dyDescent="0.3">
      <c r="A606" t="s">
        <v>508</v>
      </c>
      <c r="C606">
        <v>124300</v>
      </c>
    </row>
    <row r="607" spans="1:3" x14ac:dyDescent="0.3">
      <c r="A607" t="s">
        <v>509</v>
      </c>
      <c r="C607">
        <v>126500</v>
      </c>
    </row>
    <row r="608" spans="1:3" x14ac:dyDescent="0.3">
      <c r="A608" t="s">
        <v>510</v>
      </c>
      <c r="C608">
        <v>198000</v>
      </c>
    </row>
    <row r="609" spans="1:3" x14ac:dyDescent="0.3">
      <c r="A609" t="s">
        <v>511</v>
      </c>
      <c r="C609">
        <v>124300.00000000001</v>
      </c>
    </row>
    <row r="610" spans="1:3" x14ac:dyDescent="0.3">
      <c r="A610" t="s">
        <v>512</v>
      </c>
      <c r="C610">
        <v>151800</v>
      </c>
    </row>
    <row r="611" spans="1:3" x14ac:dyDescent="0.3">
      <c r="A611" t="s">
        <v>513</v>
      </c>
      <c r="C611">
        <v>275000</v>
      </c>
    </row>
    <row r="612" spans="1:3" x14ac:dyDescent="0.3">
      <c r="A612" t="s">
        <v>514</v>
      </c>
      <c r="C612">
        <v>1573000</v>
      </c>
    </row>
    <row r="613" spans="1:3" x14ac:dyDescent="0.3">
      <c r="A613" t="s">
        <v>515</v>
      </c>
      <c r="C613">
        <v>1628000</v>
      </c>
    </row>
    <row r="614" spans="1:3" x14ac:dyDescent="0.3">
      <c r="A614" t="s">
        <v>516</v>
      </c>
      <c r="C614">
        <v>1771000</v>
      </c>
    </row>
    <row r="615" spans="1:3" x14ac:dyDescent="0.3">
      <c r="A615" t="s">
        <v>517</v>
      </c>
      <c r="C615">
        <v>1870000</v>
      </c>
    </row>
    <row r="616" spans="1:3" x14ac:dyDescent="0.3">
      <c r="A616" t="s">
        <v>518</v>
      </c>
      <c r="C616">
        <v>1650000</v>
      </c>
    </row>
    <row r="617" spans="1:3" x14ac:dyDescent="0.3">
      <c r="A617" t="s">
        <v>519</v>
      </c>
      <c r="C617">
        <v>1683000</v>
      </c>
    </row>
    <row r="618" spans="1:3" x14ac:dyDescent="0.3">
      <c r="A618" t="s">
        <v>520</v>
      </c>
      <c r="C618">
        <v>1738000</v>
      </c>
    </row>
    <row r="619" spans="1:3" x14ac:dyDescent="0.3">
      <c r="A619" t="s">
        <v>521</v>
      </c>
      <c r="C619">
        <v>1881000</v>
      </c>
    </row>
    <row r="620" spans="1:3" x14ac:dyDescent="0.3">
      <c r="A620" t="s">
        <v>522</v>
      </c>
      <c r="C620">
        <v>743000</v>
      </c>
    </row>
    <row r="621" spans="1:3" x14ac:dyDescent="0.3">
      <c r="A621" t="s">
        <v>523</v>
      </c>
      <c r="C621">
        <v>1179200</v>
      </c>
    </row>
    <row r="622" spans="1:3" x14ac:dyDescent="0.3">
      <c r="A622" t="s">
        <v>524</v>
      </c>
      <c r="C622">
        <v>1230900</v>
      </c>
    </row>
    <row r="623" spans="1:3" x14ac:dyDescent="0.3">
      <c r="A623" t="s">
        <v>525</v>
      </c>
      <c r="C623">
        <v>1705000</v>
      </c>
    </row>
    <row r="624" spans="1:3" x14ac:dyDescent="0.3">
      <c r="A624" t="s">
        <v>526</v>
      </c>
      <c r="C624">
        <v>2256100</v>
      </c>
    </row>
    <row r="625" spans="1:3" x14ac:dyDescent="0.3">
      <c r="A625" t="s">
        <v>527</v>
      </c>
      <c r="C625">
        <v>2376000</v>
      </c>
    </row>
    <row r="626" spans="1:3" x14ac:dyDescent="0.3">
      <c r="A626" t="s">
        <v>528</v>
      </c>
      <c r="C626">
        <v>4720100</v>
      </c>
    </row>
    <row r="627" spans="1:3" x14ac:dyDescent="0.3">
      <c r="A627" t="s">
        <v>529</v>
      </c>
      <c r="C627">
        <v>4815800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호성 윤</dc:creator>
  <cp:lastModifiedBy>호성 윤</cp:lastModifiedBy>
  <dcterms:created xsi:type="dcterms:W3CDTF">2026-01-27T07:11:55Z</dcterms:created>
  <dcterms:modified xsi:type="dcterms:W3CDTF">2026-01-28T04:42:30Z</dcterms:modified>
</cp:coreProperties>
</file>